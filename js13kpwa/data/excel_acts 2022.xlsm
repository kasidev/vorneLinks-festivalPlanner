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Patrick\Desktop\Dev\vorneLinks\js13kpwa\data\"/>
    </mc:Choice>
  </mc:AlternateContent>
  <xr:revisionPtr revIDLastSave="0" documentId="13_ncr:1_{72382D0C-B35B-47AC-B17F-5E5E138E4171}" xr6:coauthVersionLast="47" xr6:coauthVersionMax="47" xr10:uidLastSave="{00000000-0000-0000-0000-000000000000}"/>
  <bookViews>
    <workbookView xWindow="-120" yWindow="-120" windowWidth="29040" windowHeight="15840" activeTab="5" xr2:uid="{E31AB5B0-E802-423D-A0FE-69C14178382F}"/>
  </bookViews>
  <sheets>
    <sheet name="Tabelle2" sheetId="6" r:id="rId1"/>
    <sheet name="Tabelle4" sheetId="4" r:id="rId2"/>
    <sheet name="scrape transform" sheetId="2" r:id="rId3"/>
    <sheet name="scrape 02AUG" sheetId="3" r:id="rId4"/>
    <sheet name="scrape transform 02AUG" sheetId="5" r:id="rId5"/>
    <sheet name="location correction" sheetId="1" r:id="rId6"/>
  </sheets>
  <definedNames>
    <definedName name="_xlnm._FilterDatabase" localSheetId="3"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 r="J62" i="3"/>
  <c r="H62" i="3"/>
  <c r="I62" i="3" s="1"/>
  <c r="J31" i="3"/>
  <c r="H31" i="3"/>
  <c r="J32" i="3"/>
  <c r="H32" i="3"/>
  <c r="J30" i="3"/>
  <c r="H30" i="3"/>
  <c r="J29" i="3"/>
  <c r="H29" i="3"/>
  <c r="J84" i="3"/>
  <c r="J80" i="3"/>
  <c r="J78" i="3"/>
  <c r="J75" i="3"/>
  <c r="J71" i="3"/>
  <c r="J69" i="3"/>
  <c r="J68" i="3"/>
  <c r="J66" i="3"/>
  <c r="J64" i="3"/>
  <c r="J63" i="3"/>
  <c r="J61" i="3"/>
  <c r="J59" i="3"/>
  <c r="J58" i="3"/>
  <c r="J55" i="3"/>
  <c r="J54" i="3"/>
  <c r="J52" i="3"/>
  <c r="J51" i="3"/>
  <c r="J50" i="3"/>
  <c r="J49" i="3"/>
  <c r="J47" i="3"/>
  <c r="J45" i="3"/>
  <c r="J44" i="3"/>
  <c r="J43" i="3"/>
  <c r="J42" i="3"/>
  <c r="J39" i="3"/>
  <c r="J38" i="3"/>
  <c r="J36" i="3"/>
  <c r="J26" i="3"/>
  <c r="J24" i="3"/>
  <c r="J23" i="3"/>
  <c r="J22" i="3"/>
  <c r="J19" i="3"/>
  <c r="J16" i="3"/>
  <c r="J15" i="3"/>
  <c r="J13" i="3"/>
  <c r="J11" i="3"/>
  <c r="J9" i="3"/>
  <c r="J7" i="3"/>
  <c r="J5" i="3"/>
  <c r="J3" i="3"/>
  <c r="J72" i="3"/>
  <c r="H72" i="3"/>
  <c r="J33" i="3"/>
  <c r="H33" i="3"/>
  <c r="J83" i="3"/>
  <c r="J82" i="3"/>
  <c r="J81" i="3"/>
  <c r="J79" i="3"/>
  <c r="J77" i="3"/>
  <c r="J76" i="3"/>
  <c r="J74" i="3"/>
  <c r="J73" i="3"/>
  <c r="J70" i="3"/>
  <c r="J67" i="3"/>
  <c r="J65" i="3"/>
  <c r="J60" i="3"/>
  <c r="J57" i="3"/>
  <c r="J56" i="3"/>
  <c r="J53" i="3"/>
  <c r="J48" i="3"/>
  <c r="J46" i="3"/>
  <c r="J41" i="3"/>
  <c r="J40" i="3"/>
  <c r="J37" i="3"/>
  <c r="J35" i="3"/>
  <c r="J34" i="3"/>
  <c r="J28" i="3"/>
  <c r="J27" i="3"/>
  <c r="J25" i="3"/>
  <c r="J21" i="3"/>
  <c r="J20" i="3"/>
  <c r="J18" i="3"/>
  <c r="J17" i="3"/>
  <c r="J14" i="3"/>
  <c r="J12" i="3"/>
  <c r="J10" i="3"/>
  <c r="J8" i="3"/>
  <c r="J6" i="3"/>
  <c r="J4" i="3"/>
  <c r="J2" i="3"/>
  <c r="H66" i="3"/>
  <c r="H51" i="3"/>
  <c r="H20" i="3"/>
  <c r="H16" i="3"/>
  <c r="H39" i="3"/>
  <c r="H69" i="3"/>
  <c r="H6" i="3"/>
  <c r="H35" i="3"/>
  <c r="H27" i="3"/>
  <c r="H79" i="3"/>
  <c r="H18" i="3"/>
  <c r="H5" i="3"/>
  <c r="H17" i="3"/>
  <c r="I17" i="3" s="1"/>
  <c r="H64" i="3"/>
  <c r="H24" i="3"/>
  <c r="I24" i="3" s="1"/>
  <c r="H80" i="3"/>
  <c r="H25" i="3"/>
  <c r="H7" i="3"/>
  <c r="H70" i="3"/>
  <c r="H81" i="3"/>
  <c r="H58" i="3"/>
  <c r="H50" i="3"/>
  <c r="H11" i="3"/>
  <c r="H56" i="3"/>
  <c r="H36" i="3"/>
  <c r="H67" i="3"/>
  <c r="I67" i="3" s="1"/>
  <c r="H42" i="3"/>
  <c r="H45" i="3"/>
  <c r="H60" i="3"/>
  <c r="H19" i="3"/>
  <c r="H12" i="3"/>
  <c r="H68" i="3"/>
  <c r="H21" i="3"/>
  <c r="H9" i="3"/>
  <c r="H44" i="3"/>
  <c r="H3" i="3"/>
  <c r="H78" i="3"/>
  <c r="H34" i="3"/>
  <c r="H57" i="3"/>
  <c r="I57" i="3" s="1"/>
  <c r="H48" i="3"/>
  <c r="H14" i="3"/>
  <c r="H73" i="3"/>
  <c r="H2" i="3"/>
  <c r="H23" i="3"/>
  <c r="H10" i="3"/>
  <c r="H37" i="3"/>
  <c r="H4" i="3"/>
  <c r="I4" i="3" s="1"/>
  <c r="H55" i="3"/>
  <c r="H38" i="3"/>
  <c r="H65" i="3"/>
  <c r="H83" i="3"/>
  <c r="I83" i="3" s="1"/>
  <c r="H75" i="3"/>
  <c r="H59" i="3"/>
  <c r="H82" i="3"/>
  <c r="I82" i="3" s="1"/>
  <c r="H84" i="3"/>
  <c r="H13" i="3"/>
  <c r="H76" i="3"/>
  <c r="H43" i="3"/>
  <c r="H15" i="3"/>
  <c r="H8" i="3"/>
  <c r="H40" i="3"/>
  <c r="H26" i="3"/>
  <c r="H77" i="3"/>
  <c r="H71" i="3"/>
  <c r="H47" i="3"/>
  <c r="H41" i="3"/>
  <c r="H28" i="3"/>
  <c r="H74" i="3"/>
  <c r="H63" i="3"/>
  <c r="H49" i="3"/>
  <c r="H53" i="3"/>
  <c r="H46" i="3"/>
  <c r="I46" i="3" s="1"/>
  <c r="H22" i="3"/>
  <c r="H61" i="3"/>
  <c r="H54" i="3"/>
  <c r="H52" i="3"/>
  <c r="I63" i="3" l="1"/>
  <c r="I44" i="3"/>
  <c r="I31" i="3"/>
  <c r="I32" i="3"/>
  <c r="I30" i="3"/>
  <c r="I29" i="3"/>
  <c r="I47" i="3"/>
  <c r="I55" i="3"/>
  <c r="I80" i="3"/>
  <c r="I5" i="3"/>
  <c r="I16" i="3"/>
  <c r="I9" i="3"/>
  <c r="I69" i="3"/>
  <c r="I41" i="3"/>
  <c r="I42" i="3"/>
  <c r="I66" i="3"/>
  <c r="I52" i="3"/>
  <c r="I59" i="3"/>
  <c r="I13" i="3"/>
  <c r="I22" i="3"/>
  <c r="I50" i="3"/>
  <c r="I78" i="3"/>
  <c r="I38" i="3"/>
  <c r="I15" i="3"/>
  <c r="I75" i="3"/>
  <c r="I36" i="3"/>
  <c r="I49" i="3"/>
  <c r="I11" i="3"/>
  <c r="I26" i="3"/>
  <c r="I45" i="3"/>
  <c r="I58" i="3"/>
  <c r="I71" i="3"/>
  <c r="I7" i="3"/>
  <c r="I23" i="3"/>
  <c r="I43" i="3"/>
  <c r="I54" i="3"/>
  <c r="I68" i="3"/>
  <c r="I61" i="3"/>
  <c r="I33" i="3"/>
  <c r="I3" i="3"/>
  <c r="I19" i="3"/>
  <c r="I39" i="3"/>
  <c r="I51" i="3"/>
  <c r="I64" i="3"/>
  <c r="I84" i="3"/>
  <c r="I6" i="3"/>
  <c r="I14" i="3"/>
  <c r="I21" i="3"/>
  <c r="I56" i="3"/>
  <c r="I35" i="3"/>
  <c r="I60" i="3"/>
  <c r="I81" i="3"/>
  <c r="I77" i="3"/>
  <c r="I72" i="3"/>
  <c r="I53" i="3"/>
  <c r="I48" i="3"/>
  <c r="I37" i="3"/>
  <c r="I79" i="3"/>
  <c r="I73" i="3"/>
  <c r="I74" i="3"/>
  <c r="I76" i="3"/>
  <c r="I10" i="3"/>
  <c r="I27" i="3"/>
  <c r="I70" i="3"/>
  <c r="I65" i="3"/>
  <c r="I40" i="3"/>
  <c r="I34" i="3"/>
  <c r="I25" i="3"/>
  <c r="I2" i="3"/>
  <c r="I18" i="3"/>
  <c r="I8" i="3"/>
  <c r="I12" i="3"/>
  <c r="I20" i="3"/>
  <c r="I28" i="3"/>
</calcChain>
</file>

<file path=xl/sharedStrings.xml><?xml version="1.0" encoding="utf-8"?>
<sst xmlns="http://schemas.openxmlformats.org/spreadsheetml/2006/main" count="2013" uniqueCount="650">
  <si>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</si>
  <si>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</si>
  <si>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</si>
  <si>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</si>
  <si>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</si>
  <si>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</si>
  <si>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</si>
  <si>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</si>
  <si>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</si>
  <si>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</si>
  <si>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</si>
  <si>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</si>
  <si>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</si>
  <si>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Neo Soul</t>
  </si>
  <si>
    <t>https://musikfestwochen.ch/acts/anouchka-gwen-ch/</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</si>
  <si>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</si>
  <si>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</si>
  <si>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</si>
  <si>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</si>
  <si>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</si>
  <si>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</si>
  <si>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https://musikfestwochen.ch/acts/king-kora-ch/</t>
  </si>
  <si>
    <t>https://musikfestwochen.ch/acts/les-trois-suisses-ch/</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</si>
  <si>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</si>
  <si>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</si>
  <si>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</si>
  <si>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</si>
  <si>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</si>
  <si>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</si>
  <si>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</si>
  <si>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</si>
  <si>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1659438273-98</t>
  </si>
  <si>
    <t>https://musikfestwochen.ch/programm/programm-a-z/?acts_showtype=all#acts_showtype_all</t>
  </si>
  <si>
    <t>CONIGLIO CONNECTION (CH)</t>
  </si>
  <si>
    <t>https://musikfestwochen.ch/acts/coniglio-connection-ch/</t>
  </si>
  <si>
    <t>Kirchplatz</t>
  </si>
  <si>
    <t>1659438273-95</t>
  </si>
  <si>
    <t>Choose The Juice (CH)</t>
  </si>
  <si>
    <t>https://musikfestwochen.ch/acts/choose-the-juice-ch/</t>
  </si>
  <si>
    <t>Startrampe</t>
  </si>
  <si>
    <t>1659438273-152</t>
  </si>
  <si>
    <t>To Athena (CH)</t>
  </si>
  <si>
    <t>https://musikfestwochen.ch/acts/to-athena-ch/</t>
  </si>
  <si>
    <t>Stadtkirche</t>
  </si>
  <si>
    <t>1659438273-87</t>
  </si>
  <si>
    <t>Barrio Colette (CH)</t>
  </si>
  <si>
    <t>https://musikfestwochen.ch/acts/barrio-colette-ch/</t>
  </si>
  <si>
    <t>Steinberggasse</t>
  </si>
  <si>
    <t>1659438273-112</t>
  </si>
  <si>
    <t>Kalabrese &amp; Rumpelorchester (CH)</t>
  </si>
  <si>
    <t>https://musikfestwochen.ch/acts/kalabrese-rumpelorchester-ch/</t>
  </si>
  <si>
    <t>1659438273-131</t>
  </si>
  <si>
    <t>Plankton (CH)</t>
  </si>
  <si>
    <t>https://musikfestwochen.ch/acts/plankton-ch/</t>
  </si>
  <si>
    <t>1659438273-149</t>
  </si>
  <si>
    <t>Takeshi's Cashew (AT)</t>
  </si>
  <si>
    <t>https://musikfestwochen.ch/acts/takeshis-cashew-at/</t>
  </si>
  <si>
    <t>1659438273-107</t>
  </si>
  <si>
    <t>Hatepop (CH)</t>
  </si>
  <si>
    <t>https://musikfestwochen.ch/acts/hatepop-ch/</t>
  </si>
  <si>
    <t>1659438273-97</t>
  </si>
  <si>
    <t>CMAT (IRL)</t>
  </si>
  <si>
    <t>https://musikfestwochen.ch/acts/cmat-irl/</t>
  </si>
  <si>
    <t>1659438273-100</t>
  </si>
  <si>
    <t>Edwin Rosen (D)</t>
  </si>
  <si>
    <t>https://musikfestwochen.ch/acts/edwin-rosen-d/</t>
  </si>
  <si>
    <t>1659438273-145</t>
  </si>
  <si>
    <t>SKA-P (ESP)</t>
  </si>
  <si>
    <t>https://musikfestwochen.ch/acts/ska-p-esp/</t>
  </si>
  <si>
    <t>1659438273-129</t>
  </si>
  <si>
    <t>PEDRO FEAT. THE LEGACY (CH)</t>
  </si>
  <si>
    <t>https://musikfestwochen.ch/acts/pedro-feat-the-legacy-ch/</t>
  </si>
  <si>
    <t>1659438273-150</t>
  </si>
  <si>
    <t>TEKE::TEKE (CAN)</t>
  </si>
  <si>
    <t>https://musikfestwochen.ch/acts/teketeke-can/</t>
  </si>
  <si>
    <t>1659438273-105</t>
  </si>
  <si>
    <t>Ginger And The Alchemists (CH)</t>
  </si>
  <si>
    <t>https://musikfestwochen.ch/acts/ginger-and-the-alchemists-ch/</t>
  </si>
  <si>
    <t>1659438273-109</t>
  </si>
  <si>
    <t>Hoehn (CH)</t>
  </si>
  <si>
    <t>https://musikfestwochen.ch/acts/hoehn-ch/</t>
  </si>
  <si>
    <t>Gewerbemuseum Winterthur</t>
  </si>
  <si>
    <t>1659438273-121</t>
  </si>
  <si>
    <t>LÜMÉ (CH/FRA)</t>
  </si>
  <si>
    <t>https://musikfestwochen.ch/acts/lueme-ch-fra/</t>
  </si>
  <si>
    <t>Roulotte</t>
  </si>
  <si>
    <t>1659438273-141</t>
  </si>
  <si>
    <t>SILVANELLAS SEILTANZ</t>
  </si>
  <si>
    <t>https://musikfestwochen.ch/acts/silvanellas-seiltanz/</t>
  </si>
  <si>
    <t>1659438273-156</t>
  </si>
  <si>
    <t>Wu-Lu (UK)</t>
  </si>
  <si>
    <t>https://musikfestwochen.ch/acts/wu-lu-uk/</t>
  </si>
  <si>
    <t>1659438273-134</t>
  </si>
  <si>
    <t>Projekt ET (CH)</t>
  </si>
  <si>
    <t>https://musikfestwochen.ch/acts/projekt-et-ch/</t>
  </si>
  <si>
    <t>1659438273-106</t>
  </si>
  <si>
    <t>Gloria Volt (CH)</t>
  </si>
  <si>
    <t>https://musikfestwochen.ch/acts/gloria-volt-ch/</t>
  </si>
  <si>
    <t>1659438273-155</t>
  </si>
  <si>
    <t>Wet Leg (UK)</t>
  </si>
  <si>
    <t>https://musikfestwochen.ch/acts/wet-leg-uk/</t>
  </si>
  <si>
    <t>1659438273-80</t>
  </si>
  <si>
    <t>Agent Flipper (CH)</t>
  </si>
  <si>
    <t>1659438273-137</t>
  </si>
  <si>
    <t>Red Tape Redemption (CH)</t>
  </si>
  <si>
    <t>https://musikfestwochen.ch/acts/red-tape-redemption-ch/</t>
  </si>
  <si>
    <t>1659438273-144</t>
  </si>
  <si>
    <t>Sira Eigenmann (CH)</t>
  </si>
  <si>
    <t>https://musikfestwochen.ch/acts/sira-eigenmann-ch/</t>
  </si>
  <si>
    <t>1659438273-92</t>
  </si>
  <si>
    <t>Bummelkasten (D)</t>
  </si>
  <si>
    <t>https://musikfestwochen.ch/acts/bummelkasten-d/</t>
  </si>
  <si>
    <t>1659438273-118</t>
  </si>
  <si>
    <t>Lily Claire (CH)</t>
  </si>
  <si>
    <t>https://musikfestwochen.ch/acts/lily-claire-ch/</t>
  </si>
  <si>
    <t>1659438273-108</t>
  </si>
  <si>
    <t>Hathors (CH)</t>
  </si>
  <si>
    <t>https://musikfestwochen.ch/acts/hathors-ch/</t>
  </si>
  <si>
    <t>1659438273-143</t>
  </si>
  <si>
    <t>Sinead O'Brien (IRL)</t>
  </si>
  <si>
    <t>https://musikfestwochen.ch/acts/sinead-obrien-irl/</t>
  </si>
  <si>
    <t>1659438273-81</t>
  </si>
  <si>
    <t>Anaïs Mitchell (US)</t>
  </si>
  <si>
    <t>1659438273-130</t>
  </si>
  <si>
    <t>Phenomden &amp; The Scrucialists (CH)</t>
  </si>
  <si>
    <t>https://musikfestwochen.ch/acts/phenomden-ch/</t>
  </si>
  <si>
    <t>1659438273-86</t>
  </si>
  <si>
    <t>Band-it-Finale</t>
  </si>
  <si>
    <t>https://musikfestwochen.ch/acts/band-it-finale/</t>
  </si>
  <si>
    <t>1659438273-104</t>
  </si>
  <si>
    <t>French Fries (CH)</t>
  </si>
  <si>
    <t>https://musikfestwochen.ch/acts/french-fries-ch/</t>
  </si>
  <si>
    <t>1659438273-132</t>
  </si>
  <si>
    <t>POETRY SLAM ABEND</t>
  </si>
  <si>
    <t>https://musikfestwochen.ch/acts/poetry-slam-abend/</t>
  </si>
  <si>
    <t>1659438273-99</t>
  </si>
  <si>
    <t>Connie Constance (UK)</t>
  </si>
  <si>
    <t>https://musikfestwochen.ch/acts/connie-constance-uk/</t>
  </si>
  <si>
    <t>1659438273-119</t>
  </si>
  <si>
    <t>Liraz (ISR)</t>
  </si>
  <si>
    <t>https://musikfestwochen.ch/acts/liraz-isr/</t>
  </si>
  <si>
    <t>1659438273-114</t>
  </si>
  <si>
    <t>KING KORA (CH)</t>
  </si>
  <si>
    <t>1659438273-91</t>
  </si>
  <si>
    <t>Bona Rhodes (CH)</t>
  </si>
  <si>
    <t>https://musikfestwochen.ch/acts/bona-rhodes-ch/</t>
  </si>
  <si>
    <t>1659438273-140</t>
  </si>
  <si>
    <t>SCHÖN &amp; GUT</t>
  </si>
  <si>
    <t>https://musikfestwochen.ch/acts/schoen-gut-ch/</t>
  </si>
  <si>
    <t>1659438273-128</t>
  </si>
  <si>
    <t>Palma Ada (CH)</t>
  </si>
  <si>
    <t>https://musikfestwochen.ch/acts/palma-ada-ch/</t>
  </si>
  <si>
    <t>1659438273-83</t>
  </si>
  <si>
    <t>Anouchka Gwen</t>
  </si>
  <si>
    <t>1659438273-88</t>
  </si>
  <si>
    <t>Batbait (CH)</t>
  </si>
  <si>
    <t>https://musikfestwochen.ch/acts/batbait-ch/</t>
  </si>
  <si>
    <t>1659438273-116</t>
  </si>
  <si>
    <t>LELE JAVEL (CH)</t>
  </si>
  <si>
    <t>https://musikfestwochen.ch/acts/lele-javel-ch/</t>
  </si>
  <si>
    <t>1659438273-151</t>
  </si>
  <si>
    <t>The Tallest Man On Earth (SWE)</t>
  </si>
  <si>
    <t>https://musikfestwochen.ch/acts/the-tallest-man-on-earth-swe/</t>
  </si>
  <si>
    <t>1659438273-113</t>
  </si>
  <si>
    <t>Katy J Pearson (UK)</t>
  </si>
  <si>
    <t>1659438273-85</t>
  </si>
  <si>
    <t>Asendorf (CH)</t>
  </si>
  <si>
    <t>1659438273-146</t>
  </si>
  <si>
    <t>Stereo Luchs (CH)</t>
  </si>
  <si>
    <t>https://musikfestwochen.ch/acts/stereo-luchs-ch/</t>
  </si>
  <si>
    <t>1659438273-94</t>
  </si>
  <si>
    <t>Catastrophe (FR)</t>
  </si>
  <si>
    <t>https://musikfestwochen.ch/acts/catastrophe-fr/</t>
  </si>
  <si>
    <t>1659438273-111</t>
  </si>
  <si>
    <t>Jeremias (D)</t>
  </si>
  <si>
    <t>https://musikfestwochen.ch/acts/jeremias-d/</t>
  </si>
  <si>
    <t>1659438273-125</t>
  </si>
  <si>
    <t>möf (CH)</t>
  </si>
  <si>
    <t>https://musikfestwochen.ch/acts/moef-ch/</t>
  </si>
  <si>
    <t>1659438273-147</t>
  </si>
  <si>
    <t>SULP (CH)</t>
  </si>
  <si>
    <t>https://musikfestwochen.ch/acts/sulp-ch/</t>
  </si>
  <si>
    <t>1659438273-101</t>
  </si>
  <si>
    <t>Emzyg (CH)</t>
  </si>
  <si>
    <t>https://musikfestwochen.ch/acts/emzyg-ch/</t>
  </si>
  <si>
    <t>1659438273-102</t>
  </si>
  <si>
    <t>Fontaines D.C. (IRL)</t>
  </si>
  <si>
    <t>https://musikfestwochen.ch/acts/fontaines-d-c-irl/</t>
  </si>
  <si>
    <t>1659438273-153</t>
  </si>
  <si>
    <t>VERY LITTLE CIRCUS</t>
  </si>
  <si>
    <t>https://musikfestwochen.ch/acts/very-little-circus/</t>
  </si>
  <si>
    <t>1659438273-84</t>
  </si>
  <si>
    <t>Arooj Aftab (PAK)</t>
  </si>
  <si>
    <t>https://musikfestwochen.ch/acts/arooj-aftab-pak/</t>
  </si>
  <si>
    <t>1659438273-90</t>
  </si>
  <si>
    <t>Black Midi (UK)</t>
  </si>
  <si>
    <t>https://musikfestwochen.ch/acts/black-midi-uk/</t>
  </si>
  <si>
    <t>1659438273-117</t>
  </si>
  <si>
    <t>LES TROIS SUISSES (CH)</t>
  </si>
  <si>
    <t>1659438273-154</t>
  </si>
  <si>
    <t>wackel:kontakt (CH)</t>
  </si>
  <si>
    <t>https://musikfestwochen.ch/acts/wackelkontakt-ch/</t>
  </si>
  <si>
    <t>1659438273-136</t>
  </si>
  <si>
    <t>Rantanplan (D)</t>
  </si>
  <si>
    <t>https://musikfestwochen.ch/acts/rantanplan-d/</t>
  </si>
  <si>
    <t>1659438273-93</t>
  </si>
  <si>
    <t>Büro (CH)</t>
  </si>
  <si>
    <t>https://musikfestwochen.ch/acts/buero-ch/</t>
  </si>
  <si>
    <t>1659438273-110</t>
  </si>
  <si>
    <t>HORA'BAND (CH)</t>
  </si>
  <si>
    <t>https://musikfestwochen.ch/acts/horaband-ch/</t>
  </si>
  <si>
    <t>1659438273-122</t>
  </si>
  <si>
    <t>MALMZEIT (CH)</t>
  </si>
  <si>
    <t>https://musikfestwochen.ch/acts/malmzeit-ch/</t>
  </si>
  <si>
    <t>1659438273-139</t>
  </si>
  <si>
    <t>Sad Night Dynamite (UK)</t>
  </si>
  <si>
    <t>https://musikfestwochen.ch/acts/sad-night-dynamite-uk/</t>
  </si>
  <si>
    <t>1659438273-124</t>
  </si>
  <si>
    <t>Minyo Crusaders (JP)</t>
  </si>
  <si>
    <t>1659438273-82</t>
  </si>
  <si>
    <t>Andrina Bollinger (CH)</t>
  </si>
  <si>
    <t>1659438273-138</t>
  </si>
  <si>
    <t>Russkaja (AT)</t>
  </si>
  <si>
    <t>https://musikfestwochen.ch/acts/russkaja-at/</t>
  </si>
  <si>
    <t>1659438273-120</t>
  </si>
  <si>
    <t>Los Dos (CH)</t>
  </si>
  <si>
    <t>https://musikfestwochen.ch/acts/los-dos-ch/</t>
  </si>
  <si>
    <t>1659438273-123</t>
  </si>
  <si>
    <t>Mel D (CH)</t>
  </si>
  <si>
    <t>https://musikfestwochen.ch/acts/mel-d-ch/</t>
  </si>
  <si>
    <t>1659438273-133</t>
  </si>
  <si>
    <t>Porridge Radio (UK)</t>
  </si>
  <si>
    <t>https://musikfestwochen.ch/acts/porridge-radio-uk/</t>
  </si>
  <si>
    <t>1659438273-135</t>
  </si>
  <si>
    <t>Psycho Weazel live (CH)</t>
  </si>
  <si>
    <t>https://musikfestwochen.ch/acts/psycho-weazel-live-ch/</t>
  </si>
  <si>
    <t>1659438273-115</t>
  </si>
  <si>
    <t>Kings of Convenience (NOR)</t>
  </si>
  <si>
    <t>https://musikfestwochen.ch/acts/kings-of-convenience-nor/</t>
  </si>
  <si>
    <t>1659438273-127</t>
  </si>
  <si>
    <t>Nichtseattle (D)</t>
  </si>
  <si>
    <t>https://musikfestwochen.ch/acts/nichtseattle-d/</t>
  </si>
  <si>
    <t>1659438273-148</t>
  </si>
  <si>
    <t>Swingscouts Crash-Tanzkurs</t>
  </si>
  <si>
    <t>https://musikfestwochen.ch/acts/swingscouts-crash-tanzkurs/</t>
  </si>
  <si>
    <t>1659438273-96</t>
  </si>
  <si>
    <t>Cleopatrick (CAN)</t>
  </si>
  <si>
    <t>https://musikfestwochen.ch/acts/cleopatrick-can/</t>
  </si>
  <si>
    <t>1659438273-89</t>
  </si>
  <si>
    <t>Black Country, New Road (UK)</t>
  </si>
  <si>
    <t>https://musikfestwochen.ch/acts/black-country-new-road-uk/</t>
  </si>
  <si>
    <t>1659438273-103</t>
  </si>
  <si>
    <t>Fräulein Luise</t>
  </si>
  <si>
    <t>https://musikfestwochen.ch/acts/fraeulein-luise-ch/</t>
  </si>
  <si>
    <t>1659438273-126</t>
  </si>
  <si>
    <t>MOKOŠ (CH)</t>
  </si>
  <si>
    <t>https://musikfestwochen.ch/acts/mokos-ch/</t>
  </si>
  <si>
    <t>1659438273-142</t>
  </si>
  <si>
    <t>SIMON CHEN (CH)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</si>
  <si>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</si>
  <si>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</si>
  <si>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</si>
  <si>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</si>
  <si>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</si>
  <si>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</si>
  <si>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</si>
  <si>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</si>
  <si>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</si>
  <si>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</si>
  <si>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</si>
  <si>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</si>
  <si>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</si>
  <si>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</si>
  <si>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</si>
  <si>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</si>
  <si>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</si>
  <si>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</si>
  <si>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</si>
  <si>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</si>
  <si>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</si>
  <si>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</si>
  <si>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</si>
  <si>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</si>
  <si>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</si>
  <si>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</si>
  <si>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</si>
  <si>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</si>
  <si>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</si>
  <si>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</si>
  <si>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</si>
  <si>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</si>
  <si>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</si>
  <si>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</si>
  <si>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</si>
  <si>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</si>
  <si>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</si>
  <si>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</si>
  <si>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</si>
  <si>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</si>
  <si>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</si>
  <si>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</si>
  <si>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</si>
  <si>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</si>
  <si>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</si>
  <si>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</si>
  <si>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</si>
  <si>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</si>
  <si>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</si>
  <si>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</si>
  <si>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</si>
  <si>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</si>
  <si>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</si>
  <si>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</si>
  <si>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</si>
  <si>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</si>
  <si>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</si>
  <si>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</si>
  <si>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</si>
  <si>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</si>
  <si>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</si>
  <si>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</si>
  <si>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</si>
  <si>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</si>
  <si>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</si>
  <si>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</si>
  <si>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</si>
  <si>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</si>
  <si>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</si>
  <si>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</si>
  <si>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</si>
  <si>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</si>
  <si>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</si>
  <si>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</si>
  <si>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startformat</t>
  </si>
  <si>
    <t>Dienstag 16.08.2022 20:15</t>
  </si>
  <si>
    <t>Donnerstag 18.08.2022 19:15</t>
  </si>
  <si>
    <t>Dienstag 16.08.2022 19:45</t>
  </si>
  <si>
    <t>Samstag 13.08.2022 18:00</t>
  </si>
  <si>
    <t>Freitag 12.08.2022 20:30</t>
  </si>
  <si>
    <t>Sonntag 14.08.2022 20:30</t>
  </si>
  <si>
    <t>Donnerstag 18.08.2022 20:30</t>
  </si>
  <si>
    <t>Donnerstag 11.08.2022 18:30</t>
  </si>
  <si>
    <t>Sonntag 14.08.2022 17:15</t>
  </si>
  <si>
    <t>Samstag 13.08.2022 21:45</t>
  </si>
  <si>
    <t>Samstag 20.08.2022 22:00</t>
  </si>
  <si>
    <t>Freitag 12.08.2022 23:00</t>
  </si>
  <si>
    <t>Mittwoch 10.08.2022 20:30</t>
  </si>
  <si>
    <t>Freitag 12.08.2022 21:15</t>
  </si>
  <si>
    <t>Donnerstag 18.08.2022 11:45</t>
  </si>
  <si>
    <t>Samstag 13.08.2022 20:15</t>
  </si>
  <si>
    <t>Sonntag 21.08.2022 14:00</t>
  </si>
  <si>
    <t>Samstag 13.08.2022 20:30</t>
  </si>
  <si>
    <t>Donnerstag 11.08.2022 19:15</t>
  </si>
  <si>
    <t>Donnerstag 18.08.2022 21:30</t>
  </si>
  <si>
    <t>Sonntag 21.08.2022 16:45</t>
  </si>
  <si>
    <t>Mittwoch 17.08.2022 19:30</t>
  </si>
  <si>
    <t>Dienstag 16.08.2022 19:30</t>
  </si>
  <si>
    <t>Freitag 12.08.2022 11:45</t>
  </si>
  <si>
    <t>Mittwoch 17.08.2022 15:00</t>
  </si>
  <si>
    <t>Sonntag 14.08.2022 18:15</t>
  </si>
  <si>
    <t>Donnerstag 18.08.2022 20:00</t>
  </si>
  <si>
    <t>Montag 15.08.2022 19:45</t>
  </si>
  <si>
    <t>Montag 15.08.2022 20:30</t>
  </si>
  <si>
    <t>Mittwoch 17.08.2022 20:15</t>
  </si>
  <si>
    <t>Samstag 13.08.2022 14:00</t>
  </si>
  <si>
    <t>Freitag 12.08.2022 18:30</t>
  </si>
  <si>
    <t>Donnerstag 18.08.2022 20:15</t>
  </si>
  <si>
    <t>Samstag 13.08.2022 19:10</t>
  </si>
  <si>
    <t>Donnerstag 11.08.2022 20:30</t>
  </si>
  <si>
    <t>Montag 15.08.2022 20:15</t>
  </si>
  <si>
    <t>Mittwoch 10.08.2022 19:30</t>
  </si>
  <si>
    <t>Samstag 20.08.2022 20:15</t>
  </si>
  <si>
    <t>Sonntag 14.08.2022 16:00</t>
  </si>
  <si>
    <t>Mittwoch 17.08.2022 18:45</t>
  </si>
  <si>
    <t>Dienstag 16.08.2022 18:45</t>
  </si>
  <si>
    <t>Freitag 12.08.2022 20:00</t>
  </si>
  <si>
    <t>Freitag 19.08.2022 20:40</t>
  </si>
  <si>
    <t>Mittwoch 10.08.2022 18:30</t>
  </si>
  <si>
    <t>Donnerstag 11.08.2022 21:30</t>
  </si>
  <si>
    <t>Sonntag 14.08.2022 19:00</t>
  </si>
  <si>
    <t>Mittwoch 10.08.2022 20:15</t>
  </si>
  <si>
    <t>Mittwoch 17.08.2022 11:45</t>
  </si>
  <si>
    <t>Sonntag 14.08.2022 20:15</t>
  </si>
  <si>
    <t>Donnerstag 18.08.2022 18:30</t>
  </si>
  <si>
    <t>Sonntag 21.08.2022 20:00</t>
  </si>
  <si>
    <t>Samstag 20.08.2022 14:00</t>
  </si>
  <si>
    <t>Mittwoch 17.08.2022 19:45</t>
  </si>
  <si>
    <t>Sonntag 21.08.2022 18:15</t>
  </si>
  <si>
    <t>Sonntag 21.08.2022 20:15</t>
  </si>
  <si>
    <t>Freitag 12.08.2022 19:15</t>
  </si>
  <si>
    <t>Samstag 20.08.2022 18:45</t>
  </si>
  <si>
    <t>Sonntag 14.08.2022 15:00</t>
  </si>
  <si>
    <t>Freitag 12.08.2022 20:15</t>
  </si>
  <si>
    <t>Donnerstag 11.08.2022 20:00</t>
  </si>
  <si>
    <t>Samstag 13.08.2022 20:45</t>
  </si>
  <si>
    <t>Samstag 20.08.2022 20:00</t>
  </si>
  <si>
    <t>Freitag 19.08.2022 20:15</t>
  </si>
  <si>
    <t>Dienstag 16.08.2022 11:45</t>
  </si>
  <si>
    <t>Montag 15.08.2022 18:45</t>
  </si>
  <si>
    <t>Samstag 13.08.2022 23:00</t>
  </si>
  <si>
    <t>Freitag 19.08.2022 22:30</t>
  </si>
  <si>
    <t>Mittwoch 17.08.2022 20:30</t>
  </si>
  <si>
    <t>Dienstag 16.08.2022 19:15</t>
  </si>
  <si>
    <t>Samstag 13.08.2022 19:30</t>
  </si>
  <si>
    <t>Matinée der Musikschulen</t>
  </si>
  <si>
    <t>https://musikfestwochen.ch/acts/matinee-der-musikschulen/</t>
  </si>
  <si>
    <t>Sonntag 14.08.2022 12:00</t>
  </si>
  <si>
    <t>Grace Cummings</t>
  </si>
  <si>
    <t>Donnerstag 18.08.2022 19:30</t>
  </si>
  <si>
    <t>https://musikfestwochen.ch/acts/grace-cummings-aus/</t>
  </si>
  <si>
    <t>Kindermalen</t>
  </si>
  <si>
    <t>Sonntag 14.08.2022 14:00</t>
  </si>
  <si>
    <t>Rundum Familine Plausch</t>
  </si>
  <si>
    <t>Theatersport</t>
  </si>
  <si>
    <t>Sonntag 14.08.2022 16:30</t>
  </si>
  <si>
    <t>Sonntag 17.08.2022 14:00</t>
  </si>
  <si>
    <t>Samstag 13.08.2022 19:50</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</si>
  <si>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</si>
  <si>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</si>
  <si>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</si>
  <si>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</si>
  <si>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</si>
  <si>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</si>
  <si>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</si>
  <si>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</si>
  <si>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</si>
  <si>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</si>
  <si>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</si>
  <si>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</si>
  <si>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</si>
  <si>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</si>
  <si>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</si>
  <si>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</si>
  <si>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</si>
  <si>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</si>
  <si>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</si>
  <si>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</si>
  <si>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</si>
  <si>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</si>
  <si>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</si>
  <si>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</si>
  <si>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</si>
  <si>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</si>
  <si>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</si>
  <si>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</si>
  <si>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</si>
  <si>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</si>
  <si>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</si>
  <si>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</si>
  <si>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</si>
  <si>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</si>
  <si>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</si>
  <si>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</si>
  <si>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</si>
  <si>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</si>
  <si>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</si>
  <si>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</si>
  <si>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</si>
  <si>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</si>
  <si>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</si>
  <si>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</si>
  <si>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</si>
  <si>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</si>
  <si>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</si>
  <si>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</si>
  <si>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</si>
  <si>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</si>
  <si>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</si>
  <si>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</si>
  <si>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</si>
  <si>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</si>
  <si>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</si>
  <si>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</si>
  <si>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</si>
  <si>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</si>
  <si>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</si>
  <si>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</si>
  <si>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</si>
  <si>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</si>
  <si>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</si>
  <si>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</si>
  <si>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</si>
  <si>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</si>
  <si>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</si>
  <si>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</si>
  <si>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</si>
  <si>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</si>
  <si>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</si>
  <si>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</si>
  <si>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</si>
  <si>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</si>
  <si>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</si>
  <si>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</si>
  <si>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</si>
  <si>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</si>
  <si>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</si>
  <si>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</si>
  <si>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</si>
  <si>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</si>
  <si>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</si>
  <si>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</si>
  <si>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</si>
  <si>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</si>
  <si>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</si>
  <si>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</si>
  <si>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</si>
  <si>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</si>
  <si>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</si>
  <si>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</si>
  <si>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</si>
  <si>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</si>
  <si>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</si>
  <si>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</si>
  <si>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</si>
  <si>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</si>
  <si>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</si>
  <si>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</si>
  <si>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</si>
  <si>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</si>
  <si>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</si>
  <si>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</si>
  <si>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</si>
  <si>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</si>
  <si>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</si>
  <si>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</si>
  <si>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</si>
  <si>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</si>
  <si>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</si>
  <si>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</si>
  <si>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</si>
  <si>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</si>
  <si>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</si>
  <si>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</si>
  <si>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</si>
  <si>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</si>
  <si>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</si>
  <si>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</si>
  <si>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</si>
  <si>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</si>
  <si>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</si>
  <si>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</si>
  <si>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</si>
  <si>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</si>
  <si>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</si>
  <si>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</si>
  <si>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</si>
  <si>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</si>
  <si>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</si>
  <si>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</si>
  <si>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</si>
  <si>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</si>
  <si>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</si>
  <si>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</si>
  <si>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</si>
  <si>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</si>
  <si>
    <t>Familienprogramm</t>
  </si>
  <si>
    <t>Theater</t>
  </si>
  <si>
    <t>Kidsmusic</t>
  </si>
  <si>
    <t>Post Wave</t>
  </si>
  <si>
    <t>«BÜRO kommen aus der tristen Ostschweiz und machen Musik passend zur spätkapitalistischen Existenzkrise.» (Eigenbeschreibung)</t>
  </si>
  <si>
    <t>Der Sonntag, 14. August, und der Mittwoch, 17. August, stehen tagsüber traditionell im Zeichen der Familien. Da gibt es u. a. wieder Musikschulkonzerte, ein Kinderkonzert von Bummelkasten, Theatersport, Spielplausch, Kindermalen und zahlreiche Aktivitäten bei unseren Partner:innen. Am 20. und 21. finden im Roulotte zwei Aufführungen für Kinder statt.</t>
  </si>
  <si>
    <t>https://musikfestwochen.ch/</t>
  </si>
  <si>
    <t>https://musikfestwochen.ch/acts/theatersport/</t>
  </si>
  <si>
    <t>Vorhang auf für den Theatersport: Das Casinotheater schickt ihr Theatersport-Hausteam «WinterthurTS» für eine Improtheater-Show zu uns an die frische Luft. Gefragt sind Wortwitz, schnelle Reaktionen und ein Sinn für abenteuerliche Geschichten. Das Publikum beeinflusst durch Zurufe aktiv den Verlauf der Geschichte. Mit Live-Musik.
Es spielen: Sven Stickling, Romeo Meyer &amp; Christian Riesen
Übrigens: Die Casinotheater-Saison startet schon bald. Alle Infos gibt’s unter casinotheater.ch</t>
  </si>
  <si>
    <t>Plaus für alli</t>
  </si>
  <si>
    <t>https://musikfestwochen.ch/gallery/rundum-familienplausch/</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</si>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</sst>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1" fontId="0" fillId="0" borderId="0" xfId="0" applyNumberFormat="1"/>
    <xf numFmtId="0" fontId="1" fillId="0" borderId="0" xfId="1"/>
    <xf numFmtId="49" fontId="0" fillId="0" borderId="0" xfId="0" applyNumberFormat="1"/>
    <xf numFmtId="14" fontId="0" fillId="0" borderId="0" xfId="0" applyNumberFormat="1"/>
    <xf numFmtId="22" fontId="0" fillId="0" borderId="0" xfId="0" applyNumberFormat="1"/>
    <xf numFmtId="49" fontId="1" fillId="0" borderId="0" xfId="1" applyNumberFormat="1"/>
    <xf numFmtId="11" fontId="0" fillId="0" borderId="0" xfId="0" applyNumberForma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80" Type="http://schemas.openxmlformats.org/officeDocument/2006/relationships/printerSettings" Target="../printerSettings/printerSettings1.bin"/><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usikfestwochen.ch/acts/grace-cummings-aus/" TargetMode="External"/><Relationship Id="rId1" Type="http://schemas.openxmlformats.org/officeDocument/2006/relationships/hyperlink" Target="https://musikfestwochen.ch/acts/matinee-der-musikschulen/"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musikfestwochen.ch/acts/king-kora-ch/" TargetMode="External"/><Relationship Id="rId2" Type="http://schemas.openxmlformats.org/officeDocument/2006/relationships/hyperlink" Target="https://musikfestwochen.ch/acts/les-trois-suisses-ch/" TargetMode="External"/><Relationship Id="rId1" Type="http://schemas.openxmlformats.org/officeDocument/2006/relationships/hyperlink" Target="https://musikfestwochen.ch/acts/agent-flipper-ch/" TargetMode="External"/><Relationship Id="rId5" Type="http://schemas.openxmlformats.org/officeDocument/2006/relationships/printerSettings" Target="../printerSettings/printerSettings3.bin"/><Relationship Id="rId4" Type="http://schemas.openxmlformats.org/officeDocument/2006/relationships/hyperlink" Target="https://musikfestwochen.ch/acts/andrina-bollinger-c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39" workbookViewId="0">
      <selection activeCell="C1" sqref="C1:C83"/>
    </sheetView>
  </sheetViews>
  <sheetFormatPr baseColWidth="10" defaultRowHeight="15" x14ac:dyDescent="0.25"/>
  <cols>
    <col min="1" max="1" width="16.7109375" customWidth="1"/>
  </cols>
  <sheetData>
    <row r="1" spans="1:4" x14ac:dyDescent="0.25">
      <c r="A1" t="s">
        <v>293</v>
      </c>
      <c r="B1" s="1">
        <v>1</v>
      </c>
      <c r="C1" s="3">
        <v>1</v>
      </c>
      <c r="D1" t="str">
        <f>IF(B1=C1,"OK","NOT OKAY")</f>
        <v>OK</v>
      </c>
    </row>
    <row r="2" spans="1:4" x14ac:dyDescent="0.25">
      <c r="A2" t="s">
        <v>289</v>
      </c>
      <c r="B2" s="1">
        <v>4</v>
      </c>
      <c r="C2" s="3">
        <v>4</v>
      </c>
      <c r="D2" t="str">
        <f t="shared" ref="D2:D65" si="0">IF(B2=C2,"OK","NOT OKAY")</f>
        <v>OK</v>
      </c>
    </row>
    <row r="3" spans="1:4" x14ac:dyDescent="0.25">
      <c r="A3" t="s">
        <v>326</v>
      </c>
      <c r="B3" s="1">
        <v>5</v>
      </c>
      <c r="C3" s="3">
        <v>1</v>
      </c>
      <c r="D3" t="str">
        <f t="shared" si="0"/>
        <v>NOT OKAY</v>
      </c>
    </row>
    <row r="4" spans="1:4" x14ac:dyDescent="0.25">
      <c r="A4" t="s">
        <v>320</v>
      </c>
      <c r="B4" s="1">
        <v>1</v>
      </c>
      <c r="C4" s="3">
        <v>2</v>
      </c>
      <c r="D4" t="str">
        <f t="shared" si="0"/>
        <v>NOT OKAY</v>
      </c>
    </row>
    <row r="5" spans="1:4" x14ac:dyDescent="0.25">
      <c r="A5" t="s">
        <v>271</v>
      </c>
      <c r="B5" s="1">
        <v>2</v>
      </c>
      <c r="C5" s="3">
        <v>1</v>
      </c>
      <c r="D5" t="str">
        <f t="shared" si="0"/>
        <v>NOT OKAY</v>
      </c>
    </row>
    <row r="6" spans="1:4" x14ac:dyDescent="0.25">
      <c r="A6" t="s">
        <v>276</v>
      </c>
      <c r="B6" s="1">
        <v>2</v>
      </c>
      <c r="C6" s="3">
        <v>4</v>
      </c>
      <c r="D6" t="str">
        <f t="shared" si="0"/>
        <v>NOT OKAY</v>
      </c>
    </row>
    <row r="7" spans="1:4" x14ac:dyDescent="0.25">
      <c r="A7" t="s">
        <v>306</v>
      </c>
      <c r="B7" s="1">
        <v>2</v>
      </c>
      <c r="C7" s="3">
        <v>1</v>
      </c>
      <c r="D7" t="str">
        <f t="shared" si="0"/>
        <v>NOT OKAY</v>
      </c>
    </row>
    <row r="8" spans="1:4" x14ac:dyDescent="0.25">
      <c r="A8" t="s">
        <v>324</v>
      </c>
      <c r="B8" s="1">
        <v>1</v>
      </c>
      <c r="C8" s="3">
        <v>2</v>
      </c>
      <c r="D8" t="str">
        <f t="shared" si="0"/>
        <v>NOT OKAY</v>
      </c>
    </row>
    <row r="9" spans="1:4" x14ac:dyDescent="0.25">
      <c r="A9" t="s">
        <v>295</v>
      </c>
      <c r="B9" s="1">
        <v>1</v>
      </c>
      <c r="C9" s="3">
        <v>1</v>
      </c>
      <c r="D9" t="str">
        <f t="shared" si="0"/>
        <v>OK</v>
      </c>
    </row>
    <row r="10" spans="1:4" x14ac:dyDescent="0.25">
      <c r="A10" t="s">
        <v>281</v>
      </c>
      <c r="B10" s="1">
        <v>1</v>
      </c>
      <c r="C10" s="3">
        <v>6</v>
      </c>
      <c r="D10" t="str">
        <f t="shared" si="0"/>
        <v>NOT OKAY</v>
      </c>
    </row>
    <row r="11" spans="1:4" x14ac:dyDescent="0.25">
      <c r="A11" t="s">
        <v>286</v>
      </c>
      <c r="B11" s="1">
        <v>1</v>
      </c>
      <c r="C11" s="3">
        <v>1</v>
      </c>
      <c r="D11" t="str">
        <f t="shared" si="0"/>
        <v>OK</v>
      </c>
    </row>
    <row r="12" spans="1:4" x14ac:dyDescent="0.25">
      <c r="A12" t="s">
        <v>302</v>
      </c>
      <c r="B12" s="1">
        <v>1</v>
      </c>
      <c r="C12" s="3">
        <v>4</v>
      </c>
      <c r="D12" t="str">
        <f t="shared" si="0"/>
        <v>NOT OKAY</v>
      </c>
    </row>
    <row r="13" spans="1:4" x14ac:dyDescent="0.25">
      <c r="A13" t="s">
        <v>292</v>
      </c>
      <c r="B13" s="1">
        <v>2</v>
      </c>
      <c r="C13" s="3">
        <v>1</v>
      </c>
      <c r="D13" t="str">
        <f t="shared" si="0"/>
        <v>NOT OKAY</v>
      </c>
    </row>
    <row r="14" spans="1:4" x14ac:dyDescent="0.25">
      <c r="A14" t="s">
        <v>305</v>
      </c>
      <c r="B14" s="1">
        <v>1</v>
      </c>
      <c r="C14" s="3">
        <v>3</v>
      </c>
      <c r="D14" t="str">
        <f t="shared" si="0"/>
        <v>NOT OKAY</v>
      </c>
    </row>
    <row r="15" spans="1:4" x14ac:dyDescent="0.25">
      <c r="A15" t="s">
        <v>268</v>
      </c>
      <c r="B15" s="1">
        <v>6</v>
      </c>
      <c r="C15" s="3">
        <v>2</v>
      </c>
      <c r="D15" t="str">
        <f t="shared" si="0"/>
        <v>NOT OKAY</v>
      </c>
    </row>
    <row r="16" spans="1:4" x14ac:dyDescent="0.25">
      <c r="A16" t="s">
        <v>273</v>
      </c>
      <c r="B16" s="1">
        <v>3</v>
      </c>
      <c r="C16" s="3">
        <v>1</v>
      </c>
      <c r="D16" t="str">
        <f t="shared" si="0"/>
        <v>NOT OKAY</v>
      </c>
    </row>
    <row r="17" spans="1:4" x14ac:dyDescent="0.25">
      <c r="A17" t="s">
        <v>272</v>
      </c>
      <c r="B17">
        <v>3</v>
      </c>
      <c r="C17" s="3">
        <v>1</v>
      </c>
      <c r="D17" t="str">
        <f t="shared" si="0"/>
        <v>NOT OKAY</v>
      </c>
    </row>
    <row r="18" spans="1:4" x14ac:dyDescent="0.25">
      <c r="A18" t="s">
        <v>127</v>
      </c>
      <c r="B18">
        <v>1</v>
      </c>
      <c r="C18" s="3">
        <v>2</v>
      </c>
      <c r="D18" t="str">
        <f t="shared" si="0"/>
        <v>NOT OKAY</v>
      </c>
    </row>
    <row r="19" spans="1:4" x14ac:dyDescent="0.25">
      <c r="A19" t="s">
        <v>267</v>
      </c>
      <c r="B19">
        <v>4</v>
      </c>
      <c r="C19" s="3">
        <v>1</v>
      </c>
      <c r="D19" t="str">
        <f t="shared" si="0"/>
        <v>NOT OKAY</v>
      </c>
    </row>
    <row r="20" spans="1:4" x14ac:dyDescent="0.25">
      <c r="A20" t="s">
        <v>287</v>
      </c>
      <c r="B20">
        <v>1</v>
      </c>
      <c r="C20" s="3">
        <v>1</v>
      </c>
      <c r="D20" t="str">
        <f t="shared" si="0"/>
        <v>OK</v>
      </c>
    </row>
    <row r="21" spans="1:4" x14ac:dyDescent="0.25">
      <c r="A21" t="s">
        <v>252</v>
      </c>
      <c r="B21">
        <v>1</v>
      </c>
      <c r="C21" s="3">
        <v>2</v>
      </c>
      <c r="D21" t="str">
        <f t="shared" si="0"/>
        <v>NOT OKAY</v>
      </c>
    </row>
    <row r="22" spans="1:4" x14ac:dyDescent="0.25">
      <c r="A22" t="s">
        <v>294</v>
      </c>
      <c r="B22">
        <v>4</v>
      </c>
      <c r="C22" s="3">
        <v>4</v>
      </c>
      <c r="D22" t="str">
        <f t="shared" si="0"/>
        <v>OK</v>
      </c>
    </row>
    <row r="23" spans="1:4" x14ac:dyDescent="0.25">
      <c r="A23" t="s">
        <v>321</v>
      </c>
      <c r="B23">
        <v>4</v>
      </c>
      <c r="C23" s="3">
        <v>3</v>
      </c>
      <c r="D23" t="str">
        <f t="shared" si="0"/>
        <v>NOT OKAY</v>
      </c>
    </row>
    <row r="24" spans="1:4" x14ac:dyDescent="0.25">
      <c r="A24" t="s">
        <v>275</v>
      </c>
      <c r="B24">
        <v>6</v>
      </c>
      <c r="C24" s="3">
        <v>1</v>
      </c>
      <c r="D24" t="str">
        <f t="shared" si="0"/>
        <v>NOT OKAY</v>
      </c>
    </row>
    <row r="25" spans="1:4" x14ac:dyDescent="0.25">
      <c r="A25" t="s">
        <v>308</v>
      </c>
      <c r="B25">
        <v>1</v>
      </c>
      <c r="C25" s="3">
        <v>2</v>
      </c>
      <c r="D25" t="str">
        <f t="shared" si="0"/>
        <v>NOT OKAY</v>
      </c>
    </row>
    <row r="26" spans="1:4" x14ac:dyDescent="0.25">
      <c r="A26" t="s">
        <v>318</v>
      </c>
      <c r="B26">
        <v>4</v>
      </c>
      <c r="C26" s="3">
        <v>1</v>
      </c>
      <c r="D26" t="str">
        <f t="shared" si="0"/>
        <v>NOT OKAY</v>
      </c>
    </row>
    <row r="27" spans="1:4" x14ac:dyDescent="0.25">
      <c r="A27" t="s">
        <v>313</v>
      </c>
      <c r="B27">
        <v>1</v>
      </c>
      <c r="C27" s="3">
        <v>1</v>
      </c>
      <c r="D27" t="str">
        <f t="shared" si="0"/>
        <v>OK</v>
      </c>
    </row>
    <row r="28" spans="1:4" x14ac:dyDescent="0.25">
      <c r="A28" t="s">
        <v>410</v>
      </c>
      <c r="B28">
        <v>5</v>
      </c>
      <c r="C28" s="3">
        <v>2</v>
      </c>
      <c r="D28" t="str">
        <f t="shared" si="0"/>
        <v>NOT OKAY</v>
      </c>
    </row>
    <row r="29" spans="1:4" x14ac:dyDescent="0.25">
      <c r="A29" t="s">
        <v>412</v>
      </c>
      <c r="B29">
        <v>2</v>
      </c>
      <c r="C29" s="3">
        <v>2</v>
      </c>
      <c r="D29" t="str">
        <f t="shared" si="0"/>
        <v>OK</v>
      </c>
    </row>
    <row r="30" spans="1:4" x14ac:dyDescent="0.25">
      <c r="A30" t="s">
        <v>304</v>
      </c>
      <c r="B30">
        <v>1</v>
      </c>
      <c r="C30" s="3">
        <v>2</v>
      </c>
      <c r="D30" t="str">
        <f t="shared" si="0"/>
        <v>NOT OKAY</v>
      </c>
    </row>
    <row r="31" spans="1:4" x14ac:dyDescent="0.25">
      <c r="A31" t="s">
        <v>413</v>
      </c>
      <c r="B31">
        <v>2</v>
      </c>
      <c r="C31" s="3">
        <v>2</v>
      </c>
      <c r="D31" t="str">
        <f t="shared" si="0"/>
        <v>OK</v>
      </c>
    </row>
    <row r="32" spans="1:4" x14ac:dyDescent="0.25">
      <c r="A32" t="s">
        <v>404</v>
      </c>
      <c r="B32">
        <v>1</v>
      </c>
      <c r="C32" s="3">
        <v>1</v>
      </c>
      <c r="D32" t="str">
        <f t="shared" si="0"/>
        <v>OK</v>
      </c>
    </row>
    <row r="33" spans="1:4" x14ac:dyDescent="0.25">
      <c r="A33" t="s">
        <v>290</v>
      </c>
      <c r="B33">
        <v>3</v>
      </c>
      <c r="C33" s="3">
        <v>1</v>
      </c>
      <c r="D33" t="str">
        <f t="shared" si="0"/>
        <v>NOT OKAY</v>
      </c>
    </row>
    <row r="34" spans="1:4" x14ac:dyDescent="0.25">
      <c r="A34" t="s">
        <v>317</v>
      </c>
      <c r="B34">
        <v>1</v>
      </c>
      <c r="C34" s="3">
        <v>1</v>
      </c>
      <c r="D34" t="str">
        <f t="shared" si="0"/>
        <v>OK</v>
      </c>
    </row>
    <row r="35" spans="1:4" x14ac:dyDescent="0.25">
      <c r="A35" t="s">
        <v>282</v>
      </c>
      <c r="B35">
        <v>2</v>
      </c>
      <c r="C35" s="3">
        <v>4</v>
      </c>
      <c r="D35" t="str">
        <f t="shared" si="0"/>
        <v>NOT OKAY</v>
      </c>
    </row>
    <row r="36" spans="1:4" x14ac:dyDescent="0.25">
      <c r="A36" t="s">
        <v>296</v>
      </c>
      <c r="B36">
        <v>3</v>
      </c>
      <c r="C36" s="3">
        <v>1</v>
      </c>
      <c r="D36" t="str">
        <f t="shared" si="0"/>
        <v>NOT OKAY</v>
      </c>
    </row>
    <row r="37" spans="1:4" x14ac:dyDescent="0.25">
      <c r="A37" t="s">
        <v>298</v>
      </c>
      <c r="B37">
        <v>4</v>
      </c>
      <c r="C37" s="3">
        <v>3</v>
      </c>
      <c r="D37" t="str">
        <f t="shared" si="0"/>
        <v>NOT OKAY</v>
      </c>
    </row>
    <row r="38" spans="1:4" x14ac:dyDescent="0.25">
      <c r="A38" t="s">
        <v>269</v>
      </c>
      <c r="B38">
        <v>3</v>
      </c>
      <c r="C38" s="3">
        <v>2</v>
      </c>
      <c r="D38" t="str">
        <f t="shared" si="0"/>
        <v>NOT OKAY</v>
      </c>
    </row>
    <row r="39" spans="1:4" x14ac:dyDescent="0.25">
      <c r="A39" t="s">
        <v>307</v>
      </c>
      <c r="B39">
        <v>1</v>
      </c>
      <c r="C39" s="3">
        <v>1</v>
      </c>
      <c r="D39" t="str">
        <f t="shared" si="0"/>
        <v>OK</v>
      </c>
    </row>
    <row r="40" spans="1:4" x14ac:dyDescent="0.25">
      <c r="A40" t="s">
        <v>312</v>
      </c>
      <c r="B40">
        <v>1</v>
      </c>
      <c r="C40" s="3">
        <v>1</v>
      </c>
      <c r="D40" t="str">
        <f t="shared" si="0"/>
        <v>OK</v>
      </c>
    </row>
    <row r="41" spans="1:4" x14ac:dyDescent="0.25">
      <c r="A41" t="s">
        <v>323</v>
      </c>
      <c r="B41">
        <v>1</v>
      </c>
      <c r="C41" s="3">
        <v>5</v>
      </c>
      <c r="D41" t="str">
        <f t="shared" si="0"/>
        <v>NOT OKAY</v>
      </c>
    </row>
    <row r="42" spans="1:4" x14ac:dyDescent="0.25">
      <c r="A42" t="s">
        <v>303</v>
      </c>
      <c r="B42">
        <v>1</v>
      </c>
      <c r="C42" s="3">
        <v>4</v>
      </c>
      <c r="D42" t="str">
        <f t="shared" si="0"/>
        <v>NOT OKAY</v>
      </c>
    </row>
    <row r="43" spans="1:4" x14ac:dyDescent="0.25">
      <c r="A43" t="s">
        <v>288</v>
      </c>
      <c r="B43">
        <v>1</v>
      </c>
      <c r="C43" s="3">
        <v>3</v>
      </c>
      <c r="D43" t="str">
        <f t="shared" si="0"/>
        <v>NOT OKAY</v>
      </c>
    </row>
    <row r="44" spans="1:4" x14ac:dyDescent="0.25">
      <c r="A44" t="s">
        <v>284</v>
      </c>
      <c r="B44">
        <v>1</v>
      </c>
      <c r="C44" s="3">
        <v>2</v>
      </c>
      <c r="D44" t="str">
        <f t="shared" si="0"/>
        <v>NOT OKAY</v>
      </c>
    </row>
    <row r="45" spans="1:4" x14ac:dyDescent="0.25">
      <c r="A45" t="s">
        <v>314</v>
      </c>
      <c r="B45">
        <v>4</v>
      </c>
      <c r="C45" s="3">
        <v>1</v>
      </c>
      <c r="D45" t="str">
        <f t="shared" si="0"/>
        <v>NOT OKAY</v>
      </c>
    </row>
    <row r="46" spans="1:4" x14ac:dyDescent="0.25">
      <c r="A46" t="s">
        <v>311</v>
      </c>
      <c r="B46">
        <v>1</v>
      </c>
      <c r="C46" s="3">
        <v>6</v>
      </c>
      <c r="D46" t="str">
        <f t="shared" si="0"/>
        <v>NOT OKAY</v>
      </c>
    </row>
    <row r="47" spans="1:4" x14ac:dyDescent="0.25">
      <c r="A47" t="s">
        <v>291</v>
      </c>
      <c r="B47">
        <v>1</v>
      </c>
      <c r="C47" s="3">
        <v>1</v>
      </c>
      <c r="D47" t="str">
        <f t="shared" si="0"/>
        <v>OK</v>
      </c>
    </row>
    <row r="48" spans="1:4" x14ac:dyDescent="0.25">
      <c r="A48" t="s">
        <v>243</v>
      </c>
      <c r="B48">
        <v>1</v>
      </c>
      <c r="C48" s="3">
        <v>2</v>
      </c>
      <c r="D48" t="str">
        <f t="shared" si="0"/>
        <v>NOT OKAY</v>
      </c>
    </row>
    <row r="49" spans="1:4" x14ac:dyDescent="0.25">
      <c r="A49" t="s">
        <v>280</v>
      </c>
      <c r="B49">
        <v>6</v>
      </c>
      <c r="C49" s="3">
        <v>4</v>
      </c>
      <c r="D49" t="str">
        <f t="shared" si="0"/>
        <v>NOT OKAY</v>
      </c>
    </row>
    <row r="50" spans="1:4" x14ac:dyDescent="0.25">
      <c r="A50" t="s">
        <v>266</v>
      </c>
      <c r="B50">
        <v>3</v>
      </c>
      <c r="C50" s="3">
        <v>5</v>
      </c>
      <c r="D50" t="str">
        <f t="shared" si="0"/>
        <v>NOT OKAY</v>
      </c>
    </row>
    <row r="51" spans="1:4" x14ac:dyDescent="0.25">
      <c r="A51" t="s">
        <v>264</v>
      </c>
      <c r="B51">
        <v>1</v>
      </c>
      <c r="C51" s="3">
        <v>2</v>
      </c>
      <c r="D51" t="str">
        <f t="shared" si="0"/>
        <v>NOT OKAY</v>
      </c>
    </row>
    <row r="52" spans="1:4" x14ac:dyDescent="0.25">
      <c r="A52" t="s">
        <v>332</v>
      </c>
      <c r="B52">
        <v>1</v>
      </c>
      <c r="C52" s="3">
        <v>1</v>
      </c>
      <c r="D52" t="str">
        <f t="shared" si="0"/>
        <v>OK</v>
      </c>
    </row>
    <row r="53" spans="1:4" x14ac:dyDescent="0.25">
      <c r="A53" t="s">
        <v>316</v>
      </c>
      <c r="B53">
        <v>3</v>
      </c>
      <c r="C53" s="3">
        <v>3</v>
      </c>
      <c r="D53" t="str">
        <f t="shared" si="0"/>
        <v>OK</v>
      </c>
    </row>
    <row r="54" spans="1:4" x14ac:dyDescent="0.25">
      <c r="A54" t="s">
        <v>297</v>
      </c>
      <c r="B54">
        <v>5</v>
      </c>
      <c r="C54" s="3">
        <v>6</v>
      </c>
      <c r="D54" t="str">
        <f t="shared" si="0"/>
        <v>NOT OKAY</v>
      </c>
    </row>
    <row r="55" spans="1:4" x14ac:dyDescent="0.25">
      <c r="A55" t="s">
        <v>322</v>
      </c>
      <c r="B55">
        <v>1</v>
      </c>
      <c r="C55" s="3">
        <v>1</v>
      </c>
      <c r="D55" t="str">
        <f t="shared" si="0"/>
        <v>OK</v>
      </c>
    </row>
    <row r="56" spans="1:4" x14ac:dyDescent="0.25">
      <c r="A56" t="s">
        <v>153</v>
      </c>
      <c r="B56">
        <v>3</v>
      </c>
      <c r="C56" s="3">
        <v>1</v>
      </c>
      <c r="D56" t="str">
        <f t="shared" si="0"/>
        <v>NOT OKAY</v>
      </c>
    </row>
    <row r="57" spans="1:4" x14ac:dyDescent="0.25">
      <c r="A57" t="s">
        <v>279</v>
      </c>
      <c r="B57">
        <v>4</v>
      </c>
      <c r="C57" s="3">
        <v>4</v>
      </c>
      <c r="D57" t="str">
        <f t="shared" si="0"/>
        <v>OK</v>
      </c>
    </row>
    <row r="58" spans="1:4" x14ac:dyDescent="0.25">
      <c r="A58" t="s">
        <v>328</v>
      </c>
      <c r="B58">
        <v>1</v>
      </c>
      <c r="C58" s="3">
        <v>5</v>
      </c>
      <c r="D58" t="str">
        <f t="shared" si="0"/>
        <v>NOT OKAY</v>
      </c>
    </row>
    <row r="59" spans="1:4" x14ac:dyDescent="0.25">
      <c r="A59" t="s">
        <v>285</v>
      </c>
      <c r="B59">
        <v>4</v>
      </c>
      <c r="C59" s="3">
        <v>1</v>
      </c>
      <c r="D59" t="str">
        <f t="shared" si="0"/>
        <v>NOT OKAY</v>
      </c>
    </row>
    <row r="60" spans="1:4" x14ac:dyDescent="0.25">
      <c r="A60" t="s">
        <v>315</v>
      </c>
      <c r="B60">
        <v>2</v>
      </c>
      <c r="C60" s="3">
        <v>3</v>
      </c>
      <c r="D60" t="str">
        <f t="shared" si="0"/>
        <v>NOT OKAY</v>
      </c>
    </row>
    <row r="61" spans="1:4" x14ac:dyDescent="0.25">
      <c r="A61" t="s">
        <v>412</v>
      </c>
      <c r="B61">
        <v>3</v>
      </c>
      <c r="C61" s="3">
        <v>2</v>
      </c>
      <c r="D61" t="str">
        <f t="shared" si="0"/>
        <v>NOT OKAY</v>
      </c>
    </row>
    <row r="62" spans="1:4" x14ac:dyDescent="0.25">
      <c r="A62" t="s">
        <v>331</v>
      </c>
      <c r="B62">
        <v>1</v>
      </c>
      <c r="C62" s="3">
        <v>2</v>
      </c>
      <c r="D62" t="str">
        <f t="shared" si="0"/>
        <v>NOT OKAY</v>
      </c>
    </row>
    <row r="63" spans="1:4" x14ac:dyDescent="0.25">
      <c r="A63" t="s">
        <v>274</v>
      </c>
      <c r="B63">
        <v>1</v>
      </c>
      <c r="C63" s="3">
        <v>6</v>
      </c>
      <c r="D63" t="str">
        <f t="shared" si="0"/>
        <v>NOT OKAY</v>
      </c>
    </row>
    <row r="64" spans="1:4" x14ac:dyDescent="0.25">
      <c r="A64" t="s">
        <v>299</v>
      </c>
      <c r="B64">
        <v>2</v>
      </c>
      <c r="C64" s="3">
        <v>1</v>
      </c>
      <c r="D64" t="str">
        <f t="shared" si="0"/>
        <v>NOT OKAY</v>
      </c>
    </row>
    <row r="65" spans="1:4" x14ac:dyDescent="0.25">
      <c r="A65" t="s">
        <v>265</v>
      </c>
      <c r="B65">
        <v>1</v>
      </c>
      <c r="C65" s="3">
        <v>4</v>
      </c>
      <c r="D65" t="str">
        <f t="shared" si="0"/>
        <v>NOT OKAY</v>
      </c>
    </row>
    <row r="66" spans="1:4" x14ac:dyDescent="0.25">
      <c r="A66" t="s">
        <v>283</v>
      </c>
      <c r="B66">
        <v>3</v>
      </c>
      <c r="C66" s="3">
        <v>1</v>
      </c>
      <c r="D66" t="str">
        <f t="shared" ref="D66:D83" si="1">IF(B66=C66,"OK","NOT OKAY")</f>
        <v>NOT OKAY</v>
      </c>
    </row>
    <row r="67" spans="1:4" x14ac:dyDescent="0.25">
      <c r="A67" t="s">
        <v>133</v>
      </c>
      <c r="B67">
        <v>6</v>
      </c>
      <c r="C67" s="3">
        <v>3</v>
      </c>
      <c r="D67" t="str">
        <f t="shared" si="1"/>
        <v>NOT OKAY</v>
      </c>
    </row>
    <row r="68" spans="1:4" x14ac:dyDescent="0.25">
      <c r="A68" t="s">
        <v>270</v>
      </c>
      <c r="B68">
        <v>1</v>
      </c>
      <c r="C68" s="3">
        <v>2</v>
      </c>
      <c r="D68" t="str">
        <f t="shared" si="1"/>
        <v>NOT OKAY</v>
      </c>
    </row>
    <row r="69" spans="1:4" x14ac:dyDescent="0.25">
      <c r="A69" t="s">
        <v>277</v>
      </c>
      <c r="B69">
        <v>1</v>
      </c>
      <c r="C69" s="3">
        <v>1</v>
      </c>
      <c r="D69" t="str">
        <f t="shared" si="1"/>
        <v>OK</v>
      </c>
    </row>
    <row r="70" spans="1:4" x14ac:dyDescent="0.25">
      <c r="A70" t="s">
        <v>310</v>
      </c>
      <c r="B70">
        <v>1</v>
      </c>
      <c r="C70" s="3">
        <v>3</v>
      </c>
      <c r="D70" t="str">
        <f t="shared" si="1"/>
        <v>NOT OKAY</v>
      </c>
    </row>
    <row r="71" spans="1:4" x14ac:dyDescent="0.25">
      <c r="A71" t="s">
        <v>407</v>
      </c>
      <c r="B71">
        <v>2</v>
      </c>
      <c r="C71" s="3">
        <v>1</v>
      </c>
      <c r="D71" t="str">
        <f t="shared" si="1"/>
        <v>NOT OKAY</v>
      </c>
    </row>
    <row r="72" spans="1:4" x14ac:dyDescent="0.25">
      <c r="A72" t="s">
        <v>325</v>
      </c>
      <c r="B72">
        <v>2</v>
      </c>
      <c r="C72" s="3">
        <v>1</v>
      </c>
      <c r="D72" t="str">
        <f t="shared" si="1"/>
        <v>NOT OKAY</v>
      </c>
    </row>
    <row r="73" spans="1:4" x14ac:dyDescent="0.25">
      <c r="A73" t="s">
        <v>330</v>
      </c>
      <c r="B73">
        <v>1</v>
      </c>
      <c r="C73" s="3">
        <v>1</v>
      </c>
      <c r="D73" t="str">
        <f t="shared" si="1"/>
        <v>OK</v>
      </c>
    </row>
    <row r="74" spans="1:4" x14ac:dyDescent="0.25">
      <c r="A74" t="s">
        <v>189</v>
      </c>
      <c r="B74">
        <v>1</v>
      </c>
      <c r="C74" s="3">
        <v>3</v>
      </c>
      <c r="D74" t="str">
        <f t="shared" si="1"/>
        <v>NOT OKAY</v>
      </c>
    </row>
    <row r="75" spans="1:4" x14ac:dyDescent="0.25">
      <c r="A75" t="s">
        <v>329</v>
      </c>
      <c r="B75">
        <v>2</v>
      </c>
      <c r="C75" s="3">
        <v>1</v>
      </c>
      <c r="D75" t="str">
        <f t="shared" si="1"/>
        <v>NOT OKAY</v>
      </c>
    </row>
    <row r="76" spans="1:4" x14ac:dyDescent="0.25">
      <c r="A76" t="s">
        <v>309</v>
      </c>
      <c r="B76">
        <v>3</v>
      </c>
      <c r="C76" s="3">
        <v>1</v>
      </c>
      <c r="D76" t="str">
        <f t="shared" si="1"/>
        <v>NOT OKAY</v>
      </c>
    </row>
    <row r="77" spans="1:4" x14ac:dyDescent="0.25">
      <c r="A77" t="s">
        <v>147</v>
      </c>
      <c r="B77">
        <v>3</v>
      </c>
      <c r="C77" s="3">
        <v>3</v>
      </c>
      <c r="D77" t="str">
        <f t="shared" si="1"/>
        <v>OK</v>
      </c>
    </row>
    <row r="78" spans="1:4" x14ac:dyDescent="0.25">
      <c r="A78" t="s">
        <v>319</v>
      </c>
      <c r="B78">
        <v>1</v>
      </c>
      <c r="C78" s="3">
        <v>1</v>
      </c>
      <c r="D78" t="str">
        <f t="shared" si="1"/>
        <v>OK</v>
      </c>
    </row>
    <row r="79" spans="1:4" x14ac:dyDescent="0.25">
      <c r="A79" t="s">
        <v>87</v>
      </c>
      <c r="B79" t="s">
        <v>417</v>
      </c>
      <c r="C79" s="3">
        <v>3</v>
      </c>
      <c r="D79" t="str">
        <f t="shared" si="1"/>
        <v>NOT OKAY</v>
      </c>
    </row>
    <row r="80" spans="1:4" x14ac:dyDescent="0.25">
      <c r="A80" t="s">
        <v>278</v>
      </c>
      <c r="B80" t="s">
        <v>417</v>
      </c>
      <c r="C80" s="3">
        <v>1</v>
      </c>
      <c r="D80" t="str">
        <f t="shared" si="1"/>
        <v>NOT OKAY</v>
      </c>
    </row>
    <row r="81" spans="1:4" x14ac:dyDescent="0.25">
      <c r="A81" t="s">
        <v>300</v>
      </c>
      <c r="B81" t="s">
        <v>417</v>
      </c>
      <c r="C81" s="3">
        <v>1</v>
      </c>
      <c r="D81" t="str">
        <f t="shared" si="1"/>
        <v>NOT OKAY</v>
      </c>
    </row>
    <row r="82" spans="1:4" x14ac:dyDescent="0.25">
      <c r="A82" t="s">
        <v>327</v>
      </c>
      <c r="B82" t="s">
        <v>417</v>
      </c>
      <c r="C82" s="3">
        <v>1</v>
      </c>
      <c r="D82" t="str">
        <f t="shared" si="1"/>
        <v>NOT OKAY</v>
      </c>
    </row>
    <row r="83" spans="1:4" x14ac:dyDescent="0.25">
      <c r="A83" t="s">
        <v>301</v>
      </c>
      <c r="B83" t="s">
        <v>417</v>
      </c>
      <c r="C83" s="3">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A84"/>
  <sheetViews>
    <sheetView workbookViewId="0"/>
  </sheetViews>
  <sheetFormatPr baseColWidth="10" defaultRowHeight="15" x14ac:dyDescent="0.25"/>
  <sheetData>
    <row r="1" spans="1:1" x14ac:dyDescent="0.25">
      <c r="A1" t="s">
        <v>566</v>
      </c>
    </row>
    <row r="2" spans="1:1" x14ac:dyDescent="0.25">
      <c r="A2" t="s">
        <v>567</v>
      </c>
    </row>
    <row r="3" spans="1:1" x14ac:dyDescent="0.25">
      <c r="A3" t="s">
        <v>568</v>
      </c>
    </row>
    <row r="4" spans="1:1" x14ac:dyDescent="0.25">
      <c r="A4" t="s">
        <v>569</v>
      </c>
    </row>
    <row r="5" spans="1:1" x14ac:dyDescent="0.25">
      <c r="A5" t="s">
        <v>570</v>
      </c>
    </row>
    <row r="6" spans="1:1" x14ac:dyDescent="0.25">
      <c r="A6" t="s">
        <v>571</v>
      </c>
    </row>
    <row r="7" spans="1:1" x14ac:dyDescent="0.25">
      <c r="A7" t="s">
        <v>572</v>
      </c>
    </row>
    <row r="8" spans="1:1" x14ac:dyDescent="0.25">
      <c r="A8" t="s">
        <v>573</v>
      </c>
    </row>
    <row r="9" spans="1:1" x14ac:dyDescent="0.25">
      <c r="A9" t="s">
        <v>574</v>
      </c>
    </row>
    <row r="10" spans="1:1" x14ac:dyDescent="0.25">
      <c r="A10" t="s">
        <v>575</v>
      </c>
    </row>
    <row r="11" spans="1:1" x14ac:dyDescent="0.25">
      <c r="A11" t="s">
        <v>576</v>
      </c>
    </row>
    <row r="12" spans="1:1" x14ac:dyDescent="0.25">
      <c r="A12" t="s">
        <v>577</v>
      </c>
    </row>
    <row r="13" spans="1:1" x14ac:dyDescent="0.25">
      <c r="A13" s="7" t="s">
        <v>578</v>
      </c>
    </row>
    <row r="14" spans="1:1" x14ac:dyDescent="0.25">
      <c r="A14" t="s">
        <v>579</v>
      </c>
    </row>
    <row r="15" spans="1:1" x14ac:dyDescent="0.25">
      <c r="A15" t="s">
        <v>580</v>
      </c>
    </row>
    <row r="16" spans="1:1" x14ac:dyDescent="0.25">
      <c r="A16" t="s">
        <v>581</v>
      </c>
    </row>
    <row r="17" spans="1:1" x14ac:dyDescent="0.25">
      <c r="A17" t="s">
        <v>582</v>
      </c>
    </row>
    <row r="18" spans="1:1" x14ac:dyDescent="0.25">
      <c r="A18" t="s">
        <v>583</v>
      </c>
    </row>
    <row r="19" spans="1:1" x14ac:dyDescent="0.25">
      <c r="A19" t="s">
        <v>584</v>
      </c>
    </row>
    <row r="20" spans="1:1" x14ac:dyDescent="0.25">
      <c r="A20" t="s">
        <v>585</v>
      </c>
    </row>
    <row r="21" spans="1:1" x14ac:dyDescent="0.25">
      <c r="A21" t="s">
        <v>586</v>
      </c>
    </row>
    <row r="22" spans="1:1" x14ac:dyDescent="0.25">
      <c r="A22" t="s">
        <v>587</v>
      </c>
    </row>
    <row r="23" spans="1:1" x14ac:dyDescent="0.25">
      <c r="A23" t="s">
        <v>588</v>
      </c>
    </row>
    <row r="24" spans="1:1" x14ac:dyDescent="0.25">
      <c r="A24" t="s">
        <v>589</v>
      </c>
    </row>
    <row r="25" spans="1:1" x14ac:dyDescent="0.25">
      <c r="A25" t="s">
        <v>590</v>
      </c>
    </row>
    <row r="26" spans="1:1" x14ac:dyDescent="0.25">
      <c r="A26" t="s">
        <v>591</v>
      </c>
    </row>
    <row r="27" spans="1:1" x14ac:dyDescent="0.25">
      <c r="A27" t="s">
        <v>592</v>
      </c>
    </row>
    <row r="28" spans="1:1" x14ac:dyDescent="0.25">
      <c r="A28" t="s">
        <v>593</v>
      </c>
    </row>
    <row r="29" spans="1:1" x14ac:dyDescent="0.25">
      <c r="A29" t="s">
        <v>594</v>
      </c>
    </row>
    <row r="30" spans="1:1" x14ac:dyDescent="0.25">
      <c r="A30" t="s">
        <v>595</v>
      </c>
    </row>
    <row r="31" spans="1:1" x14ac:dyDescent="0.25">
      <c r="A31" t="s">
        <v>596</v>
      </c>
    </row>
    <row r="32" spans="1:1" x14ac:dyDescent="0.25">
      <c r="A32" t="s">
        <v>597</v>
      </c>
    </row>
    <row r="33" spans="1:1" x14ac:dyDescent="0.25">
      <c r="A33" t="s">
        <v>598</v>
      </c>
    </row>
    <row r="34" spans="1:1" x14ac:dyDescent="0.25">
      <c r="A34" t="s">
        <v>599</v>
      </c>
    </row>
    <row r="35" spans="1:1" x14ac:dyDescent="0.25">
      <c r="A35" t="s">
        <v>600</v>
      </c>
    </row>
    <row r="36" spans="1:1" x14ac:dyDescent="0.25">
      <c r="A36" t="s">
        <v>601</v>
      </c>
    </row>
    <row r="37" spans="1:1" x14ac:dyDescent="0.25">
      <c r="A37" t="s">
        <v>602</v>
      </c>
    </row>
    <row r="38" spans="1:1" x14ac:dyDescent="0.25">
      <c r="A38" t="s">
        <v>603</v>
      </c>
    </row>
    <row r="39" spans="1:1" x14ac:dyDescent="0.25">
      <c r="A39" t="s">
        <v>604</v>
      </c>
    </row>
    <row r="40" spans="1:1" x14ac:dyDescent="0.25">
      <c r="A40" t="s">
        <v>605</v>
      </c>
    </row>
    <row r="41" spans="1:1" x14ac:dyDescent="0.25">
      <c r="A41" t="s">
        <v>606</v>
      </c>
    </row>
    <row r="42" spans="1:1" x14ac:dyDescent="0.25">
      <c r="A42" t="s">
        <v>607</v>
      </c>
    </row>
    <row r="43" spans="1:1" x14ac:dyDescent="0.25">
      <c r="A43" t="s">
        <v>608</v>
      </c>
    </row>
    <row r="44" spans="1:1" x14ac:dyDescent="0.25">
      <c r="A44" t="s">
        <v>609</v>
      </c>
    </row>
    <row r="45" spans="1:1" x14ac:dyDescent="0.25">
      <c r="A45" t="s">
        <v>610</v>
      </c>
    </row>
    <row r="46" spans="1:1" x14ac:dyDescent="0.25">
      <c r="A46" t="s">
        <v>611</v>
      </c>
    </row>
    <row r="47" spans="1:1" x14ac:dyDescent="0.25">
      <c r="A47" t="s">
        <v>612</v>
      </c>
    </row>
    <row r="48" spans="1:1" x14ac:dyDescent="0.25">
      <c r="A48" t="s">
        <v>613</v>
      </c>
    </row>
    <row r="49" spans="1:1" x14ac:dyDescent="0.25">
      <c r="A49" t="s">
        <v>614</v>
      </c>
    </row>
    <row r="50" spans="1:1" x14ac:dyDescent="0.25">
      <c r="A50" t="s">
        <v>615</v>
      </c>
    </row>
    <row r="51" spans="1:1" x14ac:dyDescent="0.25">
      <c r="A51" t="s">
        <v>616</v>
      </c>
    </row>
    <row r="52" spans="1:1" x14ac:dyDescent="0.25">
      <c r="A52" t="s">
        <v>617</v>
      </c>
    </row>
    <row r="53" spans="1:1" x14ac:dyDescent="0.25">
      <c r="A53" t="s">
        <v>618</v>
      </c>
    </row>
    <row r="54" spans="1:1" x14ac:dyDescent="0.25">
      <c r="A54" t="s">
        <v>619</v>
      </c>
    </row>
    <row r="55" spans="1:1" x14ac:dyDescent="0.25">
      <c r="A55" t="s">
        <v>620</v>
      </c>
    </row>
    <row r="56" spans="1:1" x14ac:dyDescent="0.25">
      <c r="A56" t="s">
        <v>621</v>
      </c>
    </row>
    <row r="57" spans="1:1" x14ac:dyDescent="0.25">
      <c r="A57" t="s">
        <v>622</v>
      </c>
    </row>
    <row r="58" spans="1:1" x14ac:dyDescent="0.25">
      <c r="A58" t="s">
        <v>623</v>
      </c>
    </row>
    <row r="59" spans="1:1" x14ac:dyDescent="0.25">
      <c r="A59" t="s">
        <v>624</v>
      </c>
    </row>
    <row r="60" spans="1:1" x14ac:dyDescent="0.25">
      <c r="A60" t="s">
        <v>625</v>
      </c>
    </row>
    <row r="61" spans="1:1" x14ac:dyDescent="0.25">
      <c r="A61" t="s">
        <v>626</v>
      </c>
    </row>
    <row r="62" spans="1:1" x14ac:dyDescent="0.25">
      <c r="A62" t="s">
        <v>627</v>
      </c>
    </row>
    <row r="63" spans="1:1" x14ac:dyDescent="0.25">
      <c r="A63" t="s">
        <v>628</v>
      </c>
    </row>
    <row r="64" spans="1:1" x14ac:dyDescent="0.25">
      <c r="A64" t="s">
        <v>629</v>
      </c>
    </row>
    <row r="65" spans="1:1" x14ac:dyDescent="0.25">
      <c r="A65" t="s">
        <v>630</v>
      </c>
    </row>
    <row r="66" spans="1:1" x14ac:dyDescent="0.25">
      <c r="A66" t="s">
        <v>631</v>
      </c>
    </row>
    <row r="67" spans="1:1" x14ac:dyDescent="0.25">
      <c r="A67" t="s">
        <v>632</v>
      </c>
    </row>
    <row r="68" spans="1:1" x14ac:dyDescent="0.25">
      <c r="A68" t="s">
        <v>633</v>
      </c>
    </row>
    <row r="69" spans="1:1" x14ac:dyDescent="0.25">
      <c r="A69" t="s">
        <v>634</v>
      </c>
    </row>
    <row r="70" spans="1:1" x14ac:dyDescent="0.25">
      <c r="A70" t="s">
        <v>635</v>
      </c>
    </row>
    <row r="71" spans="1:1" x14ac:dyDescent="0.25">
      <c r="A71" t="s">
        <v>636</v>
      </c>
    </row>
    <row r="72" spans="1:1" x14ac:dyDescent="0.25">
      <c r="A72" t="s">
        <v>637</v>
      </c>
    </row>
    <row r="73" spans="1:1" x14ac:dyDescent="0.25">
      <c r="A73" t="s">
        <v>638</v>
      </c>
    </row>
    <row r="74" spans="1:1" x14ac:dyDescent="0.25">
      <c r="A74" t="s">
        <v>639</v>
      </c>
    </row>
    <row r="75" spans="1:1" x14ac:dyDescent="0.25">
      <c r="A75" t="s">
        <v>640</v>
      </c>
    </row>
    <row r="76" spans="1:1" x14ac:dyDescent="0.25">
      <c r="A76" t="s">
        <v>641</v>
      </c>
    </row>
    <row r="77" spans="1:1" x14ac:dyDescent="0.25">
      <c r="A77" t="s">
        <v>642</v>
      </c>
    </row>
    <row r="78" spans="1:1" x14ac:dyDescent="0.25">
      <c r="A78" t="s">
        <v>643</v>
      </c>
    </row>
    <row r="79" spans="1:1" x14ac:dyDescent="0.25">
      <c r="A79" t="s">
        <v>644</v>
      </c>
    </row>
    <row r="80" spans="1:1" x14ac:dyDescent="0.25">
      <c r="A80" t="s">
        <v>645</v>
      </c>
    </row>
    <row r="81" spans="1:1" x14ac:dyDescent="0.25">
      <c r="A81" t="s">
        <v>646</v>
      </c>
    </row>
    <row r="82" spans="1:1" x14ac:dyDescent="0.25">
      <c r="A82" t="s">
        <v>647</v>
      </c>
    </row>
    <row r="83" spans="1:1" x14ac:dyDescent="0.25">
      <c r="A83" t="s">
        <v>648</v>
      </c>
    </row>
    <row r="84" spans="1:1" x14ac:dyDescent="0.25">
      <c r="A84" t="s">
        <v>649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84"/>
  <sheetViews>
    <sheetView topLeftCell="A27" workbookViewId="0">
      <selection activeCell="B2" sqref="B2:B84"/>
    </sheetView>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3" t="s">
        <v>1</v>
      </c>
      <c r="B1" s="3" t="s">
        <v>260</v>
      </c>
      <c r="C1" s="3" t="s">
        <v>261</v>
      </c>
      <c r="D1" s="3" t="s">
        <v>262</v>
      </c>
      <c r="E1" s="3" t="s">
        <v>5</v>
      </c>
      <c r="F1" s="3" t="s">
        <v>263</v>
      </c>
      <c r="G1" s="3" t="s">
        <v>6</v>
      </c>
      <c r="H1" s="3" t="s">
        <v>30</v>
      </c>
      <c r="I1" s="3"/>
      <c r="J1" s="3"/>
      <c r="K1" s="3"/>
      <c r="L1" s="3"/>
    </row>
    <row r="2" spans="1:12" x14ac:dyDescent="0.25">
      <c r="A2" s="3" t="s">
        <v>293</v>
      </c>
      <c r="B2" s="3">
        <v>1</v>
      </c>
      <c r="C2" s="3">
        <v>1660149000</v>
      </c>
      <c r="D2" s="3">
        <v>1660152600</v>
      </c>
      <c r="E2" s="3" t="s">
        <v>417</v>
      </c>
      <c r="F2" s="3" t="s">
        <v>418</v>
      </c>
      <c r="G2" s="3" t="s">
        <v>8</v>
      </c>
      <c r="H2" s="6" t="s">
        <v>9</v>
      </c>
      <c r="I2" s="3"/>
      <c r="J2" s="3"/>
      <c r="K2" s="3"/>
    </row>
    <row r="3" spans="1:12" x14ac:dyDescent="0.25">
      <c r="A3" s="3" t="s">
        <v>289</v>
      </c>
      <c r="B3" s="3">
        <v>4</v>
      </c>
      <c r="C3" s="3">
        <v>1660152600</v>
      </c>
      <c r="D3" s="3">
        <v>1660153500</v>
      </c>
      <c r="E3" s="3" t="s">
        <v>417</v>
      </c>
      <c r="F3" s="3" t="s">
        <v>418</v>
      </c>
      <c r="G3" s="3" t="s">
        <v>419</v>
      </c>
      <c r="H3" s="6" t="s">
        <v>145</v>
      </c>
      <c r="I3" s="3"/>
      <c r="J3" s="3"/>
      <c r="K3" s="3"/>
    </row>
    <row r="4" spans="1:12" x14ac:dyDescent="0.25">
      <c r="A4" s="3" t="s">
        <v>326</v>
      </c>
      <c r="B4" s="3">
        <v>1</v>
      </c>
      <c r="C4" s="3">
        <v>1660155300</v>
      </c>
      <c r="D4" s="3">
        <v>1660160700</v>
      </c>
      <c r="E4" s="3" t="s">
        <v>417</v>
      </c>
      <c r="F4" s="3" t="s">
        <v>420</v>
      </c>
      <c r="G4" s="3" t="s">
        <v>421</v>
      </c>
      <c r="H4" s="6" t="s">
        <v>175</v>
      </c>
      <c r="I4" s="3"/>
      <c r="J4" s="3"/>
      <c r="K4" s="3"/>
    </row>
    <row r="5" spans="1:12" x14ac:dyDescent="0.25">
      <c r="A5" s="3" t="s">
        <v>320</v>
      </c>
      <c r="B5" s="3">
        <v>2</v>
      </c>
      <c r="C5" s="3">
        <v>1660156200</v>
      </c>
      <c r="D5" s="3">
        <v>1660160700</v>
      </c>
      <c r="E5" s="3" t="s">
        <v>417</v>
      </c>
      <c r="F5" s="3" t="s">
        <v>422</v>
      </c>
      <c r="G5" s="3" t="s">
        <v>423</v>
      </c>
      <c r="H5" s="6" t="s">
        <v>74</v>
      </c>
      <c r="I5" s="3"/>
      <c r="J5" s="3"/>
      <c r="K5" s="3"/>
    </row>
    <row r="6" spans="1:12" x14ac:dyDescent="0.25">
      <c r="A6" s="3" t="s">
        <v>271</v>
      </c>
      <c r="B6" s="3">
        <v>1</v>
      </c>
      <c r="C6" s="3">
        <v>1660235400</v>
      </c>
      <c r="D6" s="3">
        <v>1660238100</v>
      </c>
      <c r="E6" s="3" t="s">
        <v>417</v>
      </c>
      <c r="F6" s="3" t="s">
        <v>424</v>
      </c>
      <c r="G6" s="3" t="s">
        <v>425</v>
      </c>
      <c r="H6" s="6" t="s">
        <v>59</v>
      </c>
      <c r="I6" s="3"/>
      <c r="J6" s="3"/>
      <c r="K6" s="3"/>
    </row>
    <row r="7" spans="1:12" x14ac:dyDescent="0.25">
      <c r="A7" s="3" t="s">
        <v>276</v>
      </c>
      <c r="B7" s="3">
        <v>4</v>
      </c>
      <c r="C7" s="3">
        <v>1660238100</v>
      </c>
      <c r="D7" s="3">
        <v>1660239000</v>
      </c>
      <c r="E7" s="3" t="s">
        <v>417</v>
      </c>
      <c r="F7" s="3" t="s">
        <v>424</v>
      </c>
      <c r="G7" s="3" t="s">
        <v>426</v>
      </c>
      <c r="H7" s="6" t="s">
        <v>94</v>
      </c>
      <c r="I7" s="3"/>
      <c r="J7" s="3"/>
      <c r="K7" s="3"/>
    </row>
    <row r="8" spans="1:12" x14ac:dyDescent="0.25">
      <c r="A8" s="3" t="s">
        <v>306</v>
      </c>
      <c r="B8" s="3">
        <v>1</v>
      </c>
      <c r="C8" s="3">
        <v>1660240800</v>
      </c>
      <c r="D8" s="3">
        <v>1660243500</v>
      </c>
      <c r="E8" s="3" t="s">
        <v>417</v>
      </c>
      <c r="F8" s="3" t="s">
        <v>427</v>
      </c>
      <c r="G8" s="3" t="s">
        <v>428</v>
      </c>
      <c r="H8" s="6" t="s">
        <v>216</v>
      </c>
      <c r="I8" s="3"/>
      <c r="J8" s="3"/>
      <c r="K8" s="3"/>
    </row>
    <row r="9" spans="1:12" x14ac:dyDescent="0.25">
      <c r="A9" s="3" t="s">
        <v>324</v>
      </c>
      <c r="B9" s="3">
        <v>2</v>
      </c>
      <c r="C9" s="3">
        <v>1660242600</v>
      </c>
      <c r="D9" s="3">
        <v>1660247100</v>
      </c>
      <c r="E9" s="3" t="s">
        <v>417</v>
      </c>
      <c r="F9" s="3" t="s">
        <v>429</v>
      </c>
      <c r="G9" s="3" t="s">
        <v>430</v>
      </c>
      <c r="H9" s="6" t="s">
        <v>140</v>
      </c>
      <c r="I9" s="3"/>
      <c r="J9" s="3"/>
      <c r="K9" s="3"/>
    </row>
    <row r="10" spans="1:12" x14ac:dyDescent="0.25">
      <c r="A10" s="3" t="s">
        <v>295</v>
      </c>
      <c r="B10" s="3">
        <v>1</v>
      </c>
      <c r="C10" s="3">
        <v>1660246200</v>
      </c>
      <c r="D10" s="3">
        <v>1660250700</v>
      </c>
      <c r="E10" s="3" t="s">
        <v>417</v>
      </c>
      <c r="F10" s="3" t="s">
        <v>424</v>
      </c>
      <c r="G10" s="3" t="s">
        <v>431</v>
      </c>
      <c r="H10" s="6" t="s">
        <v>169</v>
      </c>
      <c r="I10" s="3"/>
      <c r="J10" s="3"/>
      <c r="K10" s="3"/>
    </row>
    <row r="11" spans="1:12" x14ac:dyDescent="0.25">
      <c r="A11" s="3" t="s">
        <v>281</v>
      </c>
      <c r="B11" s="3">
        <v>6</v>
      </c>
      <c r="C11" s="3">
        <v>1660297500</v>
      </c>
      <c r="D11" s="3">
        <v>1660301100</v>
      </c>
      <c r="E11" s="3" t="s">
        <v>417</v>
      </c>
      <c r="F11" s="3" t="s">
        <v>432</v>
      </c>
      <c r="G11" s="3" t="s">
        <v>433</v>
      </c>
      <c r="H11" s="6" t="s">
        <v>108</v>
      </c>
      <c r="I11" s="3"/>
      <c r="J11" s="3"/>
      <c r="K11" s="3"/>
    </row>
    <row r="12" spans="1:12" x14ac:dyDescent="0.25">
      <c r="A12" s="3" t="s">
        <v>286</v>
      </c>
      <c r="B12" s="3">
        <v>1</v>
      </c>
      <c r="C12" s="3">
        <v>1660321800</v>
      </c>
      <c r="D12" s="3">
        <v>1660324500</v>
      </c>
      <c r="E12" s="3" t="s">
        <v>417</v>
      </c>
      <c r="F12" s="3" t="s">
        <v>434</v>
      </c>
      <c r="G12" s="3" t="s">
        <v>435</v>
      </c>
      <c r="H12" s="6" t="s">
        <v>131</v>
      </c>
      <c r="I12" s="3"/>
      <c r="J12" s="3"/>
      <c r="K12" s="3"/>
    </row>
    <row r="13" spans="1:12" x14ac:dyDescent="0.25">
      <c r="A13" s="3" t="s">
        <v>302</v>
      </c>
      <c r="B13" s="3">
        <v>4</v>
      </c>
      <c r="C13" s="3">
        <v>1660324500</v>
      </c>
      <c r="D13" s="3">
        <v>1660325400</v>
      </c>
      <c r="E13" s="3" t="s">
        <v>417</v>
      </c>
      <c r="F13" s="3" t="s">
        <v>436</v>
      </c>
      <c r="G13" s="3" t="s">
        <v>437</v>
      </c>
      <c r="H13" s="6" t="s">
        <v>201</v>
      </c>
      <c r="I13" s="3"/>
      <c r="J13" s="3"/>
      <c r="K13" s="3"/>
    </row>
    <row r="14" spans="1:12" x14ac:dyDescent="0.25">
      <c r="A14" s="3" t="s">
        <v>292</v>
      </c>
      <c r="B14" s="3">
        <v>1</v>
      </c>
      <c r="C14" s="3">
        <v>1660327200</v>
      </c>
      <c r="D14" s="3">
        <v>1660329900</v>
      </c>
      <c r="E14" s="3" t="s">
        <v>417</v>
      </c>
      <c r="F14" s="3" t="s">
        <v>439</v>
      </c>
      <c r="G14" s="3" t="s">
        <v>438</v>
      </c>
      <c r="H14" s="6" t="s">
        <v>159</v>
      </c>
      <c r="I14" s="3"/>
      <c r="J14" s="3"/>
      <c r="K14" s="3"/>
    </row>
    <row r="15" spans="1:12" x14ac:dyDescent="0.25">
      <c r="A15" s="3" t="s">
        <v>305</v>
      </c>
      <c r="B15" s="3">
        <v>3</v>
      </c>
      <c r="C15" s="3">
        <v>1660328100</v>
      </c>
      <c r="D15" s="3">
        <v>1660332600</v>
      </c>
      <c r="E15" s="3" t="s">
        <v>417</v>
      </c>
      <c r="F15" s="3" t="s">
        <v>441</v>
      </c>
      <c r="G15" s="3" t="s">
        <v>440</v>
      </c>
      <c r="H15" s="6" t="s">
        <v>213</v>
      </c>
      <c r="I15" s="3"/>
      <c r="J15" s="3"/>
      <c r="K15" s="3"/>
    </row>
    <row r="16" spans="1:12" x14ac:dyDescent="0.25">
      <c r="A16" s="3" t="s">
        <v>268</v>
      </c>
      <c r="B16" s="3">
        <v>2</v>
      </c>
      <c r="C16" s="3">
        <v>1660329000</v>
      </c>
      <c r="D16" s="3">
        <v>1660333500</v>
      </c>
      <c r="E16" s="3" t="s">
        <v>417</v>
      </c>
      <c r="F16" s="3" t="s">
        <v>443</v>
      </c>
      <c r="G16" s="3" t="s">
        <v>442</v>
      </c>
      <c r="H16" s="6" t="s">
        <v>50</v>
      </c>
      <c r="I16" s="3"/>
      <c r="J16" s="3"/>
      <c r="K16" s="3"/>
    </row>
    <row r="17" spans="1:11" x14ac:dyDescent="0.25">
      <c r="A17" s="3" t="s">
        <v>273</v>
      </c>
      <c r="B17" s="3">
        <v>1</v>
      </c>
      <c r="C17" s="3">
        <v>1660331700</v>
      </c>
      <c r="D17" s="3">
        <v>1660335300</v>
      </c>
      <c r="E17" s="3" t="s">
        <v>417</v>
      </c>
      <c r="F17" s="3" t="s">
        <v>444</v>
      </c>
      <c r="G17" s="3" t="s">
        <v>445</v>
      </c>
      <c r="H17" s="6" t="s">
        <v>77</v>
      </c>
      <c r="I17" s="3"/>
      <c r="J17" s="3"/>
      <c r="K17" s="3"/>
    </row>
    <row r="18" spans="1:11" x14ac:dyDescent="0.25">
      <c r="A18" s="3" t="s">
        <v>272</v>
      </c>
      <c r="B18" s="3">
        <v>1</v>
      </c>
      <c r="C18" s="3">
        <v>1660338000</v>
      </c>
      <c r="D18" s="3">
        <v>1660341000</v>
      </c>
      <c r="E18" s="3" t="s">
        <v>417</v>
      </c>
      <c r="F18" s="3" t="s">
        <v>424</v>
      </c>
      <c r="G18" s="3" t="s">
        <v>446</v>
      </c>
      <c r="H18" s="6" t="s">
        <v>71</v>
      </c>
      <c r="I18" s="3"/>
      <c r="J18" s="3"/>
      <c r="K18" s="3"/>
    </row>
    <row r="19" spans="1:11" x14ac:dyDescent="0.25">
      <c r="A19" s="3" t="s">
        <v>127</v>
      </c>
      <c r="B19" s="3">
        <v>2</v>
      </c>
      <c r="C19" s="3">
        <v>1660392000</v>
      </c>
      <c r="D19" s="3">
        <v>1660409100</v>
      </c>
      <c r="E19" s="3" t="s">
        <v>417</v>
      </c>
      <c r="F19" s="3" t="s">
        <v>447</v>
      </c>
      <c r="G19" s="3" t="s">
        <v>448</v>
      </c>
      <c r="H19" s="6" t="s">
        <v>128</v>
      </c>
      <c r="I19" s="3"/>
      <c r="J19" s="3"/>
      <c r="K19" s="3"/>
    </row>
    <row r="20" spans="1:11" x14ac:dyDescent="0.25">
      <c r="A20" s="3" t="s">
        <v>267</v>
      </c>
      <c r="B20" s="3">
        <v>1</v>
      </c>
      <c r="C20" s="3">
        <v>1660406400</v>
      </c>
      <c r="D20" s="3">
        <v>1660408800</v>
      </c>
      <c r="E20" s="3" t="s">
        <v>417</v>
      </c>
      <c r="F20" s="3" t="s">
        <v>449</v>
      </c>
      <c r="G20" s="3" t="s">
        <v>450</v>
      </c>
      <c r="H20" s="6" t="s">
        <v>46</v>
      </c>
      <c r="I20" s="3"/>
      <c r="J20" s="3"/>
      <c r="K20" s="3"/>
    </row>
    <row r="21" spans="1:11" x14ac:dyDescent="0.25">
      <c r="A21" s="3" t="s">
        <v>287</v>
      </c>
      <c r="B21" s="3">
        <v>1</v>
      </c>
      <c r="C21" s="3">
        <v>1660410600</v>
      </c>
      <c r="D21" s="3">
        <v>1660413000</v>
      </c>
      <c r="E21" s="3" t="s">
        <v>417</v>
      </c>
      <c r="F21" s="3" t="s">
        <v>451</v>
      </c>
      <c r="G21" s="3" t="s">
        <v>452</v>
      </c>
      <c r="H21" s="6" t="s">
        <v>137</v>
      </c>
      <c r="I21" s="3"/>
      <c r="J21" s="3"/>
      <c r="K21" s="3"/>
    </row>
    <row r="22" spans="1:11" x14ac:dyDescent="0.25">
      <c r="A22" s="3" t="s">
        <v>252</v>
      </c>
      <c r="B22" s="3">
        <v>2</v>
      </c>
      <c r="C22" s="3">
        <v>1660411800</v>
      </c>
      <c r="D22" s="3">
        <v>1660414200</v>
      </c>
      <c r="E22" s="3" t="s">
        <v>417</v>
      </c>
      <c r="F22" s="3" t="s">
        <v>27</v>
      </c>
      <c r="G22" s="3" t="s">
        <v>453</v>
      </c>
      <c r="H22" s="6" t="s">
        <v>253</v>
      </c>
      <c r="I22" s="3"/>
      <c r="J22" s="3"/>
      <c r="K22" s="3"/>
    </row>
    <row r="23" spans="1:11" x14ac:dyDescent="0.25">
      <c r="A23" s="3" t="s">
        <v>294</v>
      </c>
      <c r="B23" s="3">
        <v>4</v>
      </c>
      <c r="C23" s="3">
        <v>1660413000</v>
      </c>
      <c r="D23" s="3">
        <v>1660413900</v>
      </c>
      <c r="E23" s="3" t="s">
        <v>417</v>
      </c>
      <c r="F23" s="3" t="s">
        <v>27</v>
      </c>
      <c r="G23" s="3" t="s">
        <v>26</v>
      </c>
      <c r="H23" s="6" t="s">
        <v>25</v>
      </c>
      <c r="I23" s="3"/>
      <c r="J23" s="3"/>
      <c r="K23" s="3"/>
    </row>
    <row r="24" spans="1:11" x14ac:dyDescent="0.25">
      <c r="A24" s="3" t="s">
        <v>321</v>
      </c>
      <c r="B24" s="3">
        <v>3</v>
      </c>
      <c r="C24" s="3">
        <v>1660414500</v>
      </c>
      <c r="D24" s="3">
        <v>1660418100</v>
      </c>
      <c r="E24" s="3" t="s">
        <v>417</v>
      </c>
      <c r="F24" s="3" t="s">
        <v>454</v>
      </c>
      <c r="G24" s="3" t="s">
        <v>455</v>
      </c>
      <c r="H24" s="6" t="s">
        <v>84</v>
      </c>
      <c r="I24" s="3"/>
      <c r="J24" s="3"/>
      <c r="K24" s="3"/>
    </row>
    <row r="25" spans="1:11" x14ac:dyDescent="0.25">
      <c r="A25" s="3" t="s">
        <v>275</v>
      </c>
      <c r="B25" s="3">
        <v>1</v>
      </c>
      <c r="C25" s="3">
        <v>1660415400</v>
      </c>
      <c r="D25" s="3">
        <v>1660418100</v>
      </c>
      <c r="E25" s="3" t="s">
        <v>417</v>
      </c>
      <c r="F25" s="3" t="s">
        <v>456</v>
      </c>
      <c r="G25" s="3" t="s">
        <v>457</v>
      </c>
      <c r="H25" s="6" t="s">
        <v>91</v>
      </c>
      <c r="I25" s="3"/>
      <c r="J25" s="3"/>
      <c r="K25" s="3"/>
    </row>
    <row r="26" spans="1:11" x14ac:dyDescent="0.25">
      <c r="A26" s="3" t="s">
        <v>308</v>
      </c>
      <c r="B26" s="3">
        <v>2</v>
      </c>
      <c r="C26" s="3">
        <v>1660416300</v>
      </c>
      <c r="D26" s="3">
        <v>1660419900</v>
      </c>
      <c r="E26" s="3" t="s">
        <v>417</v>
      </c>
      <c r="F26" s="3" t="s">
        <v>18</v>
      </c>
      <c r="G26" s="3" t="s">
        <v>19</v>
      </c>
      <c r="H26" s="6" t="s">
        <v>20</v>
      </c>
      <c r="I26" s="3"/>
      <c r="J26" s="3"/>
      <c r="K26" s="3"/>
    </row>
    <row r="27" spans="1:11" x14ac:dyDescent="0.25">
      <c r="A27" s="3" t="s">
        <v>318</v>
      </c>
      <c r="B27" s="3">
        <v>1</v>
      </c>
      <c r="C27" s="3">
        <v>1660419900</v>
      </c>
      <c r="D27" s="3">
        <v>1660422900</v>
      </c>
      <c r="E27" s="3" t="s">
        <v>417</v>
      </c>
      <c r="F27" s="3" t="s">
        <v>458</v>
      </c>
      <c r="G27" s="3" t="s">
        <v>459</v>
      </c>
      <c r="H27" s="6" t="s">
        <v>65</v>
      </c>
      <c r="I27" s="3"/>
      <c r="J27" s="3"/>
      <c r="K27" s="3"/>
    </row>
    <row r="28" spans="1:11" x14ac:dyDescent="0.25">
      <c r="A28" s="3" t="s">
        <v>313</v>
      </c>
      <c r="B28" s="3">
        <v>1</v>
      </c>
      <c r="C28" s="3">
        <v>1660424400</v>
      </c>
      <c r="D28" s="3">
        <v>1660427700</v>
      </c>
      <c r="E28" s="3" t="s">
        <v>417</v>
      </c>
      <c r="F28" s="3" t="s">
        <v>460</v>
      </c>
      <c r="G28" s="3" t="s">
        <v>461</v>
      </c>
      <c r="H28" s="6" t="s">
        <v>235</v>
      </c>
      <c r="I28" s="3"/>
      <c r="J28" s="3"/>
      <c r="K28" s="3"/>
    </row>
    <row r="29" spans="1:11" x14ac:dyDescent="0.25">
      <c r="A29" s="3" t="s">
        <v>410</v>
      </c>
      <c r="B29" s="3">
        <v>2</v>
      </c>
      <c r="C29" s="3">
        <v>1660478400</v>
      </c>
      <c r="D29" s="3">
        <v>1660489200</v>
      </c>
      <c r="E29" s="3" t="s">
        <v>417</v>
      </c>
      <c r="F29" s="3" t="s">
        <v>555</v>
      </c>
      <c r="G29" s="3" t="s">
        <v>560</v>
      </c>
      <c r="H29" s="6"/>
      <c r="I29" s="3"/>
      <c r="J29" s="3"/>
      <c r="K29" s="3"/>
    </row>
    <row r="30" spans="1:11" x14ac:dyDescent="0.25">
      <c r="A30" s="3" t="s">
        <v>412</v>
      </c>
      <c r="B30" s="3">
        <v>2</v>
      </c>
      <c r="C30" s="3">
        <v>1660478400</v>
      </c>
      <c r="D30" s="3">
        <v>1660489200</v>
      </c>
      <c r="E30" s="3" t="s">
        <v>417</v>
      </c>
      <c r="F30" s="3" t="s">
        <v>555</v>
      </c>
      <c r="G30" s="3" t="s">
        <v>560</v>
      </c>
      <c r="H30" s="6"/>
      <c r="I30" s="3"/>
      <c r="J30" s="3"/>
      <c r="K30" s="3"/>
    </row>
    <row r="31" spans="1:11" x14ac:dyDescent="0.25">
      <c r="A31" s="3" t="s">
        <v>304</v>
      </c>
      <c r="B31" s="3">
        <v>2</v>
      </c>
      <c r="C31" s="3">
        <v>1660482000</v>
      </c>
      <c r="D31" s="3">
        <v>1660484700</v>
      </c>
      <c r="E31" s="3" t="s">
        <v>417</v>
      </c>
      <c r="F31" s="3" t="s">
        <v>447</v>
      </c>
      <c r="G31" s="3" t="s">
        <v>462</v>
      </c>
      <c r="H31" s="6" t="s">
        <v>210</v>
      </c>
      <c r="I31" s="3"/>
      <c r="J31" s="3"/>
      <c r="K31" s="3"/>
    </row>
    <row r="32" spans="1:11" x14ac:dyDescent="0.25">
      <c r="A32" s="3" t="s">
        <v>413</v>
      </c>
      <c r="B32" s="3">
        <v>2</v>
      </c>
      <c r="C32" s="3">
        <v>1660487400</v>
      </c>
      <c r="D32" s="3">
        <v>1660491000</v>
      </c>
      <c r="E32" s="3" t="s">
        <v>417</v>
      </c>
      <c r="F32" s="3" t="s">
        <v>556</v>
      </c>
      <c r="G32" s="3" t="s">
        <v>563</v>
      </c>
      <c r="H32" s="6"/>
      <c r="I32" s="3"/>
      <c r="J32" s="3"/>
      <c r="K32" s="3"/>
    </row>
    <row r="33" spans="1:11" x14ac:dyDescent="0.25">
      <c r="A33" s="3" t="s">
        <v>404</v>
      </c>
      <c r="B33" s="3">
        <v>1</v>
      </c>
      <c r="C33" s="3">
        <v>1660471200</v>
      </c>
      <c r="D33" s="3">
        <v>1660482000</v>
      </c>
      <c r="E33" s="3" t="s">
        <v>417</v>
      </c>
      <c r="F33" s="3" t="s">
        <v>557</v>
      </c>
      <c r="G33" s="3" t="s">
        <v>463</v>
      </c>
      <c r="H33" s="6" t="s">
        <v>405</v>
      </c>
      <c r="I33" s="3"/>
      <c r="J33" s="3"/>
      <c r="K33" s="3"/>
    </row>
    <row r="34" spans="1:11" x14ac:dyDescent="0.25">
      <c r="A34" s="3" t="s">
        <v>290</v>
      </c>
      <c r="B34" s="3">
        <v>1</v>
      </c>
      <c r="C34" s="3">
        <v>1660485600</v>
      </c>
      <c r="D34" s="3">
        <v>1660488300</v>
      </c>
      <c r="E34" s="3" t="s">
        <v>417</v>
      </c>
      <c r="F34" s="3" t="s">
        <v>465</v>
      </c>
      <c r="G34" s="3" t="s">
        <v>464</v>
      </c>
      <c r="H34" s="6" t="s">
        <v>151</v>
      </c>
      <c r="I34" s="3"/>
      <c r="J34" s="3"/>
      <c r="K34" s="3"/>
    </row>
    <row r="35" spans="1:11" x14ac:dyDescent="0.25">
      <c r="A35" s="3" t="s">
        <v>317</v>
      </c>
      <c r="B35" s="3">
        <v>1</v>
      </c>
      <c r="C35" s="3">
        <v>1660490100</v>
      </c>
      <c r="D35" s="3">
        <v>1660493700</v>
      </c>
      <c r="E35" s="3" t="s">
        <v>417</v>
      </c>
      <c r="F35" s="3" t="s">
        <v>467</v>
      </c>
      <c r="G35" s="3" t="s">
        <v>466</v>
      </c>
      <c r="H35" s="6" t="s">
        <v>62</v>
      </c>
      <c r="I35" s="3"/>
      <c r="J35" s="3"/>
      <c r="K35" s="3"/>
    </row>
    <row r="36" spans="1:11" x14ac:dyDescent="0.25">
      <c r="A36" s="3" t="s">
        <v>282</v>
      </c>
      <c r="B36" s="3">
        <v>4</v>
      </c>
      <c r="C36" s="3">
        <v>1660493700</v>
      </c>
      <c r="D36" s="3">
        <v>1660494600</v>
      </c>
      <c r="E36" s="3" t="s">
        <v>417</v>
      </c>
      <c r="F36" s="3" t="s">
        <v>468</v>
      </c>
      <c r="G36" s="3" t="s">
        <v>469</v>
      </c>
      <c r="H36" s="6" t="s">
        <v>114</v>
      </c>
      <c r="I36" s="3"/>
      <c r="J36" s="3"/>
      <c r="K36" s="3"/>
    </row>
    <row r="37" spans="1:11" x14ac:dyDescent="0.25">
      <c r="A37" s="3" t="s">
        <v>296</v>
      </c>
      <c r="B37" s="3">
        <v>1</v>
      </c>
      <c r="C37" s="3">
        <v>1660496400</v>
      </c>
      <c r="D37" s="3">
        <v>1660500000</v>
      </c>
      <c r="E37" s="3" t="s">
        <v>417</v>
      </c>
      <c r="F37" s="3" t="s">
        <v>471</v>
      </c>
      <c r="G37" s="3" t="s">
        <v>470</v>
      </c>
      <c r="H37" s="6" t="s">
        <v>172</v>
      </c>
      <c r="I37" s="3"/>
      <c r="J37" s="3"/>
      <c r="K37" s="3"/>
    </row>
    <row r="38" spans="1:11" x14ac:dyDescent="0.25">
      <c r="A38" s="3" t="s">
        <v>298</v>
      </c>
      <c r="B38" s="3">
        <v>3</v>
      </c>
      <c r="C38" s="3">
        <v>1660500900</v>
      </c>
      <c r="D38" s="3">
        <v>1660505400</v>
      </c>
      <c r="E38" s="3" t="s">
        <v>417</v>
      </c>
      <c r="F38" s="3" t="s">
        <v>473</v>
      </c>
      <c r="G38" s="3" t="s">
        <v>472</v>
      </c>
      <c r="H38" s="6" t="s">
        <v>181</v>
      </c>
      <c r="I38" s="3"/>
      <c r="J38" s="3"/>
      <c r="K38" s="3"/>
    </row>
    <row r="39" spans="1:11" x14ac:dyDescent="0.25">
      <c r="A39" s="3" t="s">
        <v>269</v>
      </c>
      <c r="B39" s="3">
        <v>2</v>
      </c>
      <c r="C39" s="3">
        <v>1660501800</v>
      </c>
      <c r="D39" s="3">
        <v>1660506300</v>
      </c>
      <c r="E39" s="3" t="s">
        <v>417</v>
      </c>
      <c r="F39" s="3" t="s">
        <v>475</v>
      </c>
      <c r="G39" s="3" t="s">
        <v>474</v>
      </c>
      <c r="H39" s="6" t="s">
        <v>53</v>
      </c>
      <c r="I39" s="3"/>
      <c r="J39" s="3"/>
      <c r="K39" s="3"/>
    </row>
    <row r="40" spans="1:11" x14ac:dyDescent="0.25">
      <c r="A40" s="3" t="s">
        <v>307</v>
      </c>
      <c r="B40" s="3">
        <v>1</v>
      </c>
      <c r="C40" s="3">
        <v>1660501800</v>
      </c>
      <c r="D40" s="3">
        <v>1660506300</v>
      </c>
      <c r="E40" s="3" t="s">
        <v>417</v>
      </c>
      <c r="F40" s="3" t="s">
        <v>11</v>
      </c>
      <c r="G40" s="3" t="s">
        <v>10</v>
      </c>
      <c r="H40" s="6" t="s">
        <v>12</v>
      </c>
      <c r="I40" s="3"/>
      <c r="J40" s="3"/>
      <c r="K40" s="3"/>
    </row>
    <row r="41" spans="1:11" x14ac:dyDescent="0.25">
      <c r="A41" s="3" t="s">
        <v>312</v>
      </c>
      <c r="B41" s="3">
        <v>1</v>
      </c>
      <c r="C41" s="3">
        <v>1660581900</v>
      </c>
      <c r="D41" s="3">
        <v>1660585500</v>
      </c>
      <c r="E41" s="3" t="s">
        <v>417</v>
      </c>
      <c r="F41" s="3" t="s">
        <v>477</v>
      </c>
      <c r="G41" s="3" t="s">
        <v>476</v>
      </c>
      <c r="H41" s="6" t="s">
        <v>232</v>
      </c>
      <c r="I41" s="3"/>
      <c r="J41" s="3"/>
      <c r="K41" s="3"/>
    </row>
    <row r="42" spans="1:11" x14ac:dyDescent="0.25">
      <c r="A42" s="3" t="s">
        <v>323</v>
      </c>
      <c r="B42" s="3">
        <v>5</v>
      </c>
      <c r="C42" s="3">
        <v>1660585500</v>
      </c>
      <c r="D42" s="3">
        <v>1660588200</v>
      </c>
      <c r="E42" s="3" t="s">
        <v>417</v>
      </c>
      <c r="F42" s="3" t="s">
        <v>478</v>
      </c>
      <c r="G42" s="3" t="s">
        <v>479</v>
      </c>
      <c r="H42" s="6" t="s">
        <v>120</v>
      </c>
      <c r="I42" s="3"/>
      <c r="J42" s="3"/>
      <c r="K42" s="3"/>
    </row>
    <row r="43" spans="1:11" x14ac:dyDescent="0.25">
      <c r="A43" s="3" t="s">
        <v>303</v>
      </c>
      <c r="B43" s="3">
        <v>4</v>
      </c>
      <c r="C43" s="3">
        <v>1660585500</v>
      </c>
      <c r="D43" s="3">
        <v>1660586400</v>
      </c>
      <c r="E43" s="3" t="s">
        <v>417</v>
      </c>
      <c r="F43" s="3" t="s">
        <v>558</v>
      </c>
      <c r="G43" s="3" t="s">
        <v>559</v>
      </c>
      <c r="H43" s="6" t="s">
        <v>207</v>
      </c>
      <c r="I43" s="3"/>
      <c r="J43" s="3"/>
      <c r="K43" s="3"/>
    </row>
    <row r="44" spans="1:11" x14ac:dyDescent="0.25">
      <c r="A44" s="3" t="s">
        <v>288</v>
      </c>
      <c r="B44" s="3">
        <v>3</v>
      </c>
      <c r="C44" s="3">
        <v>1660587300</v>
      </c>
      <c r="D44" s="3">
        <v>1660592700</v>
      </c>
      <c r="E44" s="3" t="s">
        <v>417</v>
      </c>
      <c r="F44" s="3" t="s">
        <v>480</v>
      </c>
      <c r="G44" s="3" t="s">
        <v>481</v>
      </c>
      <c r="H44" s="6" t="s">
        <v>21</v>
      </c>
      <c r="I44" s="3"/>
      <c r="J44" s="3"/>
      <c r="K44" s="3"/>
    </row>
    <row r="45" spans="1:11" x14ac:dyDescent="0.25">
      <c r="A45" s="3" t="s">
        <v>284</v>
      </c>
      <c r="B45" s="3">
        <v>2</v>
      </c>
      <c r="C45" s="3">
        <v>1660588200</v>
      </c>
      <c r="D45" s="3">
        <v>1660592700</v>
      </c>
      <c r="E45" s="3" t="s">
        <v>417</v>
      </c>
      <c r="F45" s="3" t="s">
        <v>16</v>
      </c>
      <c r="G45" s="3" t="s">
        <v>15</v>
      </c>
      <c r="H45" s="6" t="s">
        <v>17</v>
      </c>
      <c r="I45" s="3"/>
      <c r="J45" s="3"/>
      <c r="K45" s="3"/>
    </row>
    <row r="46" spans="1:11" x14ac:dyDescent="0.25">
      <c r="A46" s="3" t="s">
        <v>314</v>
      </c>
      <c r="B46" s="3">
        <v>1</v>
      </c>
      <c r="C46" s="3">
        <v>1660588200</v>
      </c>
      <c r="D46" s="3">
        <v>1660591800</v>
      </c>
      <c r="E46" s="3" t="s">
        <v>417</v>
      </c>
      <c r="F46" s="3" t="s">
        <v>482</v>
      </c>
      <c r="G46" s="3" t="s">
        <v>483</v>
      </c>
      <c r="H46" s="6" t="s">
        <v>250</v>
      </c>
      <c r="I46" s="3"/>
      <c r="J46" s="3"/>
      <c r="K46" s="3"/>
    </row>
    <row r="47" spans="1:11" x14ac:dyDescent="0.25">
      <c r="A47" s="3" t="s">
        <v>311</v>
      </c>
      <c r="B47" s="3">
        <v>6</v>
      </c>
      <c r="C47" s="3">
        <v>1660643100</v>
      </c>
      <c r="D47" s="3">
        <v>1660646700</v>
      </c>
      <c r="E47" s="3" t="s">
        <v>417</v>
      </c>
      <c r="F47" s="3" t="s">
        <v>484</v>
      </c>
      <c r="G47" s="3" t="s">
        <v>485</v>
      </c>
      <c r="H47" s="6" t="s">
        <v>229</v>
      </c>
      <c r="I47" s="3"/>
      <c r="J47" s="3"/>
      <c r="K47" s="3"/>
    </row>
    <row r="48" spans="1:11" x14ac:dyDescent="0.25">
      <c r="A48" s="3" t="s">
        <v>291</v>
      </c>
      <c r="B48" s="3">
        <v>1</v>
      </c>
      <c r="C48" s="3">
        <v>1660668300</v>
      </c>
      <c r="D48" s="3">
        <v>1660671000</v>
      </c>
      <c r="E48" s="3" t="s">
        <v>417</v>
      </c>
      <c r="F48" s="3" t="s">
        <v>486</v>
      </c>
      <c r="G48" s="3" t="s">
        <v>487</v>
      </c>
      <c r="H48" s="6" t="s">
        <v>156</v>
      </c>
      <c r="I48" s="3"/>
      <c r="J48" s="3"/>
      <c r="K48" s="3"/>
    </row>
    <row r="49" spans="1:11" x14ac:dyDescent="0.25">
      <c r="A49" s="3" t="s">
        <v>243</v>
      </c>
      <c r="B49" s="3">
        <v>2</v>
      </c>
      <c r="C49" s="3">
        <v>1660670100</v>
      </c>
      <c r="D49" s="3">
        <v>1660672800</v>
      </c>
      <c r="E49" s="3" t="s">
        <v>417</v>
      </c>
      <c r="F49" s="3" t="s">
        <v>489</v>
      </c>
      <c r="G49" s="3" t="s">
        <v>488</v>
      </c>
      <c r="H49" s="6" t="s">
        <v>244</v>
      </c>
      <c r="I49" s="3"/>
      <c r="J49" s="3"/>
      <c r="K49" s="3"/>
    </row>
    <row r="50" spans="1:11" x14ac:dyDescent="0.25">
      <c r="A50" s="3" t="s">
        <v>280</v>
      </c>
      <c r="B50" s="3">
        <v>4</v>
      </c>
      <c r="C50" s="3">
        <v>1660671000</v>
      </c>
      <c r="D50" s="3">
        <v>1660671900</v>
      </c>
      <c r="E50" s="3" t="s">
        <v>417</v>
      </c>
      <c r="F50" s="3" t="s">
        <v>490</v>
      </c>
      <c r="G50" s="3" t="s">
        <v>491</v>
      </c>
      <c r="H50" s="6" t="s">
        <v>105</v>
      </c>
      <c r="I50" s="3"/>
      <c r="J50" s="3"/>
      <c r="K50" s="3"/>
    </row>
    <row r="51" spans="1:11" x14ac:dyDescent="0.25">
      <c r="A51" s="3" t="s">
        <v>266</v>
      </c>
      <c r="B51" s="3">
        <v>5</v>
      </c>
      <c r="C51" s="3">
        <v>1660671900</v>
      </c>
      <c r="D51" s="3">
        <v>1660674600</v>
      </c>
      <c r="E51" s="3" t="s">
        <v>417</v>
      </c>
      <c r="F51" s="3" t="s">
        <v>493</v>
      </c>
      <c r="G51" s="3" t="s">
        <v>492</v>
      </c>
      <c r="H51" s="6" t="s">
        <v>42</v>
      </c>
      <c r="I51" s="3"/>
      <c r="J51" s="3"/>
      <c r="K51" s="3"/>
    </row>
    <row r="52" spans="1:11" x14ac:dyDescent="0.25">
      <c r="A52" s="3" t="s">
        <v>264</v>
      </c>
      <c r="B52" s="3">
        <v>2</v>
      </c>
      <c r="C52" s="3">
        <v>1660673700</v>
      </c>
      <c r="D52" s="3">
        <v>1660679100</v>
      </c>
      <c r="E52" s="3" t="s">
        <v>417</v>
      </c>
      <c r="F52" s="3" t="s">
        <v>495</v>
      </c>
      <c r="G52" s="3" t="s">
        <v>494</v>
      </c>
      <c r="H52" s="6" t="s">
        <v>34</v>
      </c>
      <c r="I52" s="3"/>
      <c r="J52" s="3"/>
      <c r="K52" s="3"/>
    </row>
    <row r="53" spans="1:11" x14ac:dyDescent="0.25">
      <c r="A53" s="3" t="s">
        <v>332</v>
      </c>
      <c r="B53" s="3">
        <v>1</v>
      </c>
      <c r="C53" s="3">
        <v>1660673700</v>
      </c>
      <c r="D53" s="3">
        <v>1660678200</v>
      </c>
      <c r="E53" s="3" t="s">
        <v>417</v>
      </c>
      <c r="F53" s="3" t="s">
        <v>496</v>
      </c>
      <c r="G53" s="3" t="s">
        <v>497</v>
      </c>
      <c r="H53" s="6" t="s">
        <v>247</v>
      </c>
      <c r="I53" s="3"/>
      <c r="J53" s="3"/>
      <c r="K53" s="3"/>
    </row>
    <row r="54" spans="1:11" x14ac:dyDescent="0.25">
      <c r="A54" s="3" t="s">
        <v>316</v>
      </c>
      <c r="B54" s="3">
        <v>3</v>
      </c>
      <c r="C54" s="3">
        <v>1660673700</v>
      </c>
      <c r="D54" s="3">
        <v>1660677300</v>
      </c>
      <c r="E54" s="3" t="s">
        <v>417</v>
      </c>
      <c r="F54" s="3" t="s">
        <v>498</v>
      </c>
      <c r="G54" s="3" t="s">
        <v>499</v>
      </c>
      <c r="H54" s="6" t="s">
        <v>259</v>
      </c>
      <c r="I54" s="3"/>
      <c r="J54" s="3"/>
      <c r="K54" s="3"/>
    </row>
    <row r="55" spans="1:11" x14ac:dyDescent="0.25">
      <c r="A55" s="3" t="s">
        <v>297</v>
      </c>
      <c r="B55" s="3">
        <v>6</v>
      </c>
      <c r="C55" s="3">
        <v>1660729500</v>
      </c>
      <c r="D55" s="3">
        <v>1660733100</v>
      </c>
      <c r="E55" s="3" t="s">
        <v>417</v>
      </c>
      <c r="F55" s="3" t="s">
        <v>500</v>
      </c>
      <c r="G55" s="3" t="s">
        <v>501</v>
      </c>
      <c r="H55" s="6" t="s">
        <v>178</v>
      </c>
      <c r="I55" s="3"/>
      <c r="J55" s="3"/>
      <c r="K55" s="3"/>
    </row>
    <row r="56" spans="1:11" x14ac:dyDescent="0.25">
      <c r="A56" s="3" t="s">
        <v>322</v>
      </c>
      <c r="B56" s="3">
        <v>1</v>
      </c>
      <c r="C56" s="3">
        <v>1660741200</v>
      </c>
      <c r="D56" s="3">
        <v>1660744800</v>
      </c>
      <c r="E56" s="3" t="s">
        <v>417</v>
      </c>
      <c r="F56" s="3" t="s">
        <v>502</v>
      </c>
      <c r="G56" s="3" t="s">
        <v>503</v>
      </c>
      <c r="H56" s="6" t="s">
        <v>111</v>
      </c>
      <c r="I56" s="3"/>
      <c r="J56" s="3"/>
      <c r="K56" s="3"/>
    </row>
    <row r="57" spans="1:11" x14ac:dyDescent="0.25">
      <c r="A57" s="3" t="s">
        <v>153</v>
      </c>
      <c r="B57" s="3">
        <v>1</v>
      </c>
      <c r="C57" s="3">
        <v>1660754700</v>
      </c>
      <c r="D57" s="3">
        <v>1660757400</v>
      </c>
      <c r="E57" s="3" t="s">
        <v>417</v>
      </c>
      <c r="F57" s="3" t="s">
        <v>13</v>
      </c>
      <c r="G57" s="3" t="s">
        <v>504</v>
      </c>
      <c r="H57" s="6" t="s">
        <v>14</v>
      </c>
      <c r="I57" s="3"/>
      <c r="J57" s="3"/>
      <c r="K57" s="3"/>
    </row>
    <row r="58" spans="1:11" x14ac:dyDescent="0.25">
      <c r="A58" s="3" t="s">
        <v>279</v>
      </c>
      <c r="B58" s="3">
        <v>4</v>
      </c>
      <c r="C58" s="3">
        <v>1660757400</v>
      </c>
      <c r="D58" s="3">
        <v>1660758300</v>
      </c>
      <c r="E58" s="3" t="s">
        <v>417</v>
      </c>
      <c r="F58" s="3" t="s">
        <v>505</v>
      </c>
      <c r="G58" s="3" t="s">
        <v>24</v>
      </c>
      <c r="H58" s="6" t="s">
        <v>23</v>
      </c>
      <c r="I58" s="3"/>
      <c r="J58" s="3"/>
      <c r="K58" s="3"/>
    </row>
    <row r="59" spans="1:11" x14ac:dyDescent="0.25">
      <c r="A59" s="3" t="s">
        <v>328</v>
      </c>
      <c r="B59" s="3">
        <v>5</v>
      </c>
      <c r="C59" s="3">
        <v>1660758300</v>
      </c>
      <c r="D59" s="3">
        <v>1660761000</v>
      </c>
      <c r="E59" s="3" t="s">
        <v>417</v>
      </c>
      <c r="F59" s="3" t="s">
        <v>506</v>
      </c>
      <c r="G59" s="3" t="s">
        <v>507</v>
      </c>
      <c r="H59" s="6" t="s">
        <v>193</v>
      </c>
      <c r="I59" s="3"/>
      <c r="J59" s="3"/>
      <c r="K59" s="3"/>
    </row>
    <row r="60" spans="1:11" x14ac:dyDescent="0.25">
      <c r="A60" s="3" t="s">
        <v>285</v>
      </c>
      <c r="B60" s="3">
        <v>1</v>
      </c>
      <c r="C60" s="3">
        <v>1660760100</v>
      </c>
      <c r="D60" s="3">
        <v>1660765500</v>
      </c>
      <c r="E60" s="3" t="s">
        <v>417</v>
      </c>
      <c r="F60" s="3" t="s">
        <v>509</v>
      </c>
      <c r="G60" s="3" t="s">
        <v>508</v>
      </c>
      <c r="H60" s="6" t="s">
        <v>125</v>
      </c>
      <c r="I60" s="3"/>
      <c r="J60" s="3"/>
      <c r="K60" s="3"/>
    </row>
    <row r="61" spans="1:11" x14ac:dyDescent="0.25">
      <c r="A61" s="3" t="s">
        <v>315</v>
      </c>
      <c r="B61" s="3">
        <v>3</v>
      </c>
      <c r="C61" s="3">
        <v>1660760100</v>
      </c>
      <c r="D61" s="3">
        <v>1660764600</v>
      </c>
      <c r="E61" s="3" t="s">
        <v>417</v>
      </c>
      <c r="F61" s="3" t="s">
        <v>511</v>
      </c>
      <c r="G61" s="3" t="s">
        <v>510</v>
      </c>
      <c r="H61" s="6" t="s">
        <v>256</v>
      </c>
      <c r="I61" s="3"/>
      <c r="J61" s="3"/>
      <c r="K61" s="3"/>
    </row>
    <row r="62" spans="1:11" x14ac:dyDescent="0.25">
      <c r="A62" s="3" t="s">
        <v>412</v>
      </c>
      <c r="B62" s="3">
        <v>2</v>
      </c>
      <c r="C62" s="3">
        <v>1660737600</v>
      </c>
      <c r="D62" s="3">
        <v>1660748400</v>
      </c>
      <c r="E62" s="3" t="s">
        <v>417</v>
      </c>
      <c r="F62" s="3" t="s">
        <v>555</v>
      </c>
      <c r="G62" s="3" t="s">
        <v>564</v>
      </c>
      <c r="H62" s="6"/>
      <c r="I62" s="3"/>
      <c r="J62" s="3"/>
      <c r="K62" s="3"/>
    </row>
    <row r="63" spans="1:11" x14ac:dyDescent="0.25">
      <c r="A63" s="3" t="s">
        <v>331</v>
      </c>
      <c r="B63" s="3">
        <v>2</v>
      </c>
      <c r="C63" s="3">
        <v>1660761000</v>
      </c>
      <c r="D63" s="3">
        <v>1660765500</v>
      </c>
      <c r="E63" s="3" t="s">
        <v>417</v>
      </c>
      <c r="F63" s="3" t="s">
        <v>512</v>
      </c>
      <c r="G63" s="3" t="s">
        <v>513</v>
      </c>
      <c r="H63" s="6" t="s">
        <v>241</v>
      </c>
      <c r="I63" s="3"/>
      <c r="J63" s="3"/>
      <c r="K63" s="3"/>
    </row>
    <row r="64" spans="1:11" x14ac:dyDescent="0.25">
      <c r="A64" s="3" t="s">
        <v>274</v>
      </c>
      <c r="B64" s="3">
        <v>6</v>
      </c>
      <c r="C64" s="3">
        <v>1660815900</v>
      </c>
      <c r="D64" s="3">
        <v>1660819500</v>
      </c>
      <c r="E64" s="3" t="s">
        <v>417</v>
      </c>
      <c r="F64" s="3" t="s">
        <v>514</v>
      </c>
      <c r="G64" s="3" t="s">
        <v>515</v>
      </c>
      <c r="H64" s="6" t="s">
        <v>80</v>
      </c>
      <c r="I64" s="3"/>
      <c r="J64" s="3"/>
      <c r="K64" s="3"/>
    </row>
    <row r="65" spans="1:11" x14ac:dyDescent="0.25">
      <c r="A65" s="3" t="s">
        <v>299</v>
      </c>
      <c r="B65" s="3">
        <v>1</v>
      </c>
      <c r="C65" s="3">
        <v>1660840200</v>
      </c>
      <c r="D65" s="3">
        <v>1660842900</v>
      </c>
      <c r="E65" s="3" t="s">
        <v>417</v>
      </c>
      <c r="F65" s="3" t="s">
        <v>516</v>
      </c>
      <c r="G65" s="3" t="s">
        <v>517</v>
      </c>
      <c r="H65" s="6" t="s">
        <v>184</v>
      </c>
      <c r="I65" s="3"/>
      <c r="J65" s="3"/>
      <c r="K65" s="3"/>
    </row>
    <row r="66" spans="1:11" x14ac:dyDescent="0.25">
      <c r="A66" s="3" t="s">
        <v>265</v>
      </c>
      <c r="B66" s="3">
        <v>4</v>
      </c>
      <c r="C66" s="3">
        <v>1660842900</v>
      </c>
      <c r="D66" s="3">
        <v>1660843800</v>
      </c>
      <c r="E66" s="3" t="s">
        <v>417</v>
      </c>
      <c r="F66" s="3" t="s">
        <v>518</v>
      </c>
      <c r="G66" s="3" t="s">
        <v>519</v>
      </c>
      <c r="H66" s="6" t="s">
        <v>38</v>
      </c>
      <c r="I66" s="3"/>
      <c r="J66" s="3"/>
      <c r="K66" s="3"/>
    </row>
    <row r="67" spans="1:11" x14ac:dyDescent="0.25">
      <c r="A67" s="3" t="s">
        <v>283</v>
      </c>
      <c r="B67" s="3">
        <v>1</v>
      </c>
      <c r="C67" s="3">
        <v>1660845600</v>
      </c>
      <c r="D67" s="3">
        <v>1660849200</v>
      </c>
      <c r="E67" s="3" t="s">
        <v>417</v>
      </c>
      <c r="F67" s="3" t="s">
        <v>520</v>
      </c>
      <c r="G67" s="3" t="s">
        <v>521</v>
      </c>
      <c r="H67" s="6" t="s">
        <v>117</v>
      </c>
      <c r="I67" s="3"/>
      <c r="J67" s="3"/>
      <c r="K67" s="3"/>
    </row>
    <row r="68" spans="1:11" x14ac:dyDescent="0.25">
      <c r="A68" s="3" t="s">
        <v>133</v>
      </c>
      <c r="B68" s="3">
        <v>3</v>
      </c>
      <c r="C68" s="3">
        <v>1660846500</v>
      </c>
      <c r="D68" s="3">
        <v>1660851000</v>
      </c>
      <c r="E68" s="3" t="s">
        <v>417</v>
      </c>
      <c r="F68" s="3" t="s">
        <v>523</v>
      </c>
      <c r="G68" s="3" t="s">
        <v>522</v>
      </c>
      <c r="H68" s="6" t="s">
        <v>134</v>
      </c>
      <c r="I68" s="3"/>
      <c r="J68" s="3"/>
      <c r="K68" s="3"/>
    </row>
    <row r="69" spans="1:11" x14ac:dyDescent="0.25">
      <c r="A69" s="3" t="s">
        <v>270</v>
      </c>
      <c r="B69" s="3">
        <v>2</v>
      </c>
      <c r="C69" s="3">
        <v>1660847400</v>
      </c>
      <c r="D69" s="3">
        <v>1660851840</v>
      </c>
      <c r="E69" s="3" t="s">
        <v>417</v>
      </c>
      <c r="F69" s="3" t="s">
        <v>524</v>
      </c>
      <c r="G69" s="3" t="s">
        <v>525</v>
      </c>
      <c r="H69" s="6" t="s">
        <v>56</v>
      </c>
      <c r="I69" s="3"/>
      <c r="J69" s="3"/>
      <c r="K69" s="3"/>
    </row>
    <row r="70" spans="1:11" x14ac:dyDescent="0.25">
      <c r="A70" s="3" t="s">
        <v>277</v>
      </c>
      <c r="B70" s="3">
        <v>1</v>
      </c>
      <c r="C70" s="3">
        <v>1660851000</v>
      </c>
      <c r="D70" s="3">
        <v>1660855500</v>
      </c>
      <c r="E70" s="3" t="s">
        <v>417</v>
      </c>
      <c r="F70" s="3" t="s">
        <v>526</v>
      </c>
      <c r="G70" s="3" t="s">
        <v>527</v>
      </c>
      <c r="H70" s="6" t="s">
        <v>97</v>
      </c>
      <c r="I70" s="3"/>
      <c r="J70" s="3"/>
      <c r="K70" s="3"/>
    </row>
    <row r="71" spans="1:11" x14ac:dyDescent="0.25">
      <c r="A71" s="3" t="s">
        <v>310</v>
      </c>
      <c r="B71" s="3">
        <v>3</v>
      </c>
      <c r="C71" s="3">
        <v>1660932900</v>
      </c>
      <c r="D71" s="3">
        <v>1660938300</v>
      </c>
      <c r="E71" s="3" t="s">
        <v>417</v>
      </c>
      <c r="F71" s="3" t="s">
        <v>528</v>
      </c>
      <c r="G71" s="3" t="s">
        <v>529</v>
      </c>
      <c r="H71" s="6" t="s">
        <v>226</v>
      </c>
      <c r="I71" s="3"/>
      <c r="J71" s="3"/>
      <c r="K71" s="3"/>
    </row>
    <row r="72" spans="1:11" x14ac:dyDescent="0.25">
      <c r="A72" s="3" t="s">
        <v>407</v>
      </c>
      <c r="B72" s="3">
        <v>1</v>
      </c>
      <c r="C72" s="3">
        <v>1660843800</v>
      </c>
      <c r="D72" s="3">
        <v>1660846200</v>
      </c>
      <c r="E72" s="3" t="s">
        <v>417</v>
      </c>
      <c r="F72" s="3" t="s">
        <v>530</v>
      </c>
      <c r="G72" s="3" t="s">
        <v>531</v>
      </c>
      <c r="H72" s="6" t="s">
        <v>409</v>
      </c>
      <c r="I72" s="3"/>
      <c r="J72" s="3"/>
      <c r="K72" s="3"/>
    </row>
    <row r="73" spans="1:11" x14ac:dyDescent="0.25">
      <c r="A73" s="3" t="s">
        <v>325</v>
      </c>
      <c r="B73" s="3">
        <v>1</v>
      </c>
      <c r="C73" s="3">
        <v>1660934400</v>
      </c>
      <c r="D73" s="3">
        <v>1660938900</v>
      </c>
      <c r="E73" s="3" t="s">
        <v>417</v>
      </c>
      <c r="F73" s="3" t="s">
        <v>532</v>
      </c>
      <c r="G73" s="3" t="s">
        <v>533</v>
      </c>
      <c r="H73" s="6" t="s">
        <v>162</v>
      </c>
      <c r="I73" s="3"/>
      <c r="J73" s="3"/>
      <c r="K73" s="3"/>
    </row>
    <row r="74" spans="1:11" x14ac:dyDescent="0.25">
      <c r="A74" s="3" t="s">
        <v>330</v>
      </c>
      <c r="B74" s="3">
        <v>1</v>
      </c>
      <c r="C74" s="3">
        <v>1660941000</v>
      </c>
      <c r="D74" s="3">
        <v>1660946400</v>
      </c>
      <c r="E74" s="3" t="s">
        <v>417</v>
      </c>
      <c r="F74" s="3" t="s">
        <v>534</v>
      </c>
      <c r="G74" s="3" t="s">
        <v>535</v>
      </c>
      <c r="H74" s="6" t="s">
        <v>238</v>
      </c>
      <c r="I74" s="3"/>
      <c r="J74" s="3"/>
      <c r="K74" s="3"/>
    </row>
    <row r="75" spans="1:11" x14ac:dyDescent="0.25">
      <c r="A75" s="3" t="s">
        <v>189</v>
      </c>
      <c r="B75" s="3">
        <v>3</v>
      </c>
      <c r="C75" s="3">
        <v>1660996800</v>
      </c>
      <c r="D75" s="3">
        <v>1660999800</v>
      </c>
      <c r="E75" s="3" t="s">
        <v>417</v>
      </c>
      <c r="F75" s="3" t="s">
        <v>536</v>
      </c>
      <c r="G75" s="3" t="s">
        <v>537</v>
      </c>
      <c r="H75" s="6" t="s">
        <v>190</v>
      </c>
      <c r="I75" s="3"/>
      <c r="J75" s="3"/>
      <c r="K75" s="3"/>
    </row>
    <row r="76" spans="1:11" x14ac:dyDescent="0.25">
      <c r="A76" s="3" t="s">
        <v>329</v>
      </c>
      <c r="B76" s="3">
        <v>1</v>
      </c>
      <c r="C76" s="3">
        <v>1661013900</v>
      </c>
      <c r="D76" s="3">
        <v>1661016600</v>
      </c>
      <c r="E76" s="3" t="s">
        <v>417</v>
      </c>
      <c r="F76" s="3" t="s">
        <v>538</v>
      </c>
      <c r="G76" s="3" t="s">
        <v>539</v>
      </c>
      <c r="H76" s="6" t="s">
        <v>204</v>
      </c>
      <c r="I76" s="3"/>
      <c r="J76" s="3"/>
      <c r="K76" s="3"/>
    </row>
    <row r="77" spans="1:11" x14ac:dyDescent="0.25">
      <c r="A77" s="3" t="s">
        <v>309</v>
      </c>
      <c r="B77" s="3">
        <v>1</v>
      </c>
      <c r="C77" s="3">
        <v>1661018400</v>
      </c>
      <c r="D77" s="3">
        <v>1661022900</v>
      </c>
      <c r="E77" s="3" t="s">
        <v>417</v>
      </c>
      <c r="F77" s="3" t="s">
        <v>540</v>
      </c>
      <c r="G77" s="3" t="s">
        <v>541</v>
      </c>
      <c r="H77" s="6" t="s">
        <v>223</v>
      </c>
      <c r="I77" s="3"/>
      <c r="J77" s="3"/>
      <c r="K77" s="3"/>
    </row>
    <row r="78" spans="1:11" x14ac:dyDescent="0.25">
      <c r="A78" s="3" t="s">
        <v>147</v>
      </c>
      <c r="B78" s="3">
        <v>3</v>
      </c>
      <c r="C78" s="3">
        <v>1661019300</v>
      </c>
      <c r="D78" s="3">
        <v>1661023800</v>
      </c>
      <c r="E78" s="3" t="s">
        <v>417</v>
      </c>
      <c r="F78" s="3" t="s">
        <v>542</v>
      </c>
      <c r="G78" s="3" t="s">
        <v>543</v>
      </c>
      <c r="H78" s="6" t="s">
        <v>148</v>
      </c>
      <c r="I78" s="3"/>
      <c r="J78" s="3"/>
      <c r="K78" s="3"/>
    </row>
    <row r="79" spans="1:11" x14ac:dyDescent="0.25">
      <c r="A79" t="s">
        <v>319</v>
      </c>
      <c r="B79" s="3">
        <v>1</v>
      </c>
      <c r="C79" s="3">
        <v>1661025600</v>
      </c>
      <c r="D79" s="3">
        <v>1661031000</v>
      </c>
      <c r="E79" s="3" t="s">
        <v>417</v>
      </c>
      <c r="F79" s="3" t="s">
        <v>538</v>
      </c>
      <c r="G79" s="3" t="s">
        <v>544</v>
      </c>
      <c r="H79" s="6" t="s">
        <v>68</v>
      </c>
    </row>
    <row r="80" spans="1:11" x14ac:dyDescent="0.25">
      <c r="A80" t="s">
        <v>87</v>
      </c>
      <c r="B80" s="3">
        <v>3</v>
      </c>
      <c r="C80" s="3">
        <v>1661083200</v>
      </c>
      <c r="D80" s="3">
        <v>1661086800</v>
      </c>
      <c r="E80" s="3" t="s">
        <v>417</v>
      </c>
      <c r="F80" s="3" t="s">
        <v>545</v>
      </c>
      <c r="G80" s="3" t="s">
        <v>546</v>
      </c>
      <c r="H80" s="6" t="s">
        <v>88</v>
      </c>
    </row>
    <row r="81" spans="1:8" x14ac:dyDescent="0.25">
      <c r="A81" t="s">
        <v>278</v>
      </c>
      <c r="B81" s="3">
        <v>1</v>
      </c>
      <c r="C81" s="3">
        <v>1661093100</v>
      </c>
      <c r="D81" s="3">
        <v>1661095800</v>
      </c>
      <c r="E81" s="3" t="s">
        <v>417</v>
      </c>
      <c r="F81" s="3" t="s">
        <v>547</v>
      </c>
      <c r="G81" s="3" t="s">
        <v>548</v>
      </c>
      <c r="H81" s="6" t="s">
        <v>100</v>
      </c>
    </row>
    <row r="82" spans="1:8" x14ac:dyDescent="0.25">
      <c r="A82" t="s">
        <v>300</v>
      </c>
      <c r="B82" s="3">
        <v>1</v>
      </c>
      <c r="C82" s="3">
        <v>1661098500</v>
      </c>
      <c r="D82" s="3">
        <v>1661102100</v>
      </c>
      <c r="E82" s="3" t="s">
        <v>417</v>
      </c>
      <c r="F82" s="3" t="s">
        <v>549</v>
      </c>
      <c r="G82" s="3" t="s">
        <v>550</v>
      </c>
      <c r="H82" s="6" t="s">
        <v>196</v>
      </c>
    </row>
    <row r="83" spans="1:8" x14ac:dyDescent="0.25">
      <c r="A83" t="s">
        <v>327</v>
      </c>
      <c r="B83" s="3">
        <v>1</v>
      </c>
      <c r="C83" s="3">
        <v>1661104800</v>
      </c>
      <c r="D83" s="3">
        <v>1661110200</v>
      </c>
      <c r="E83" s="3" t="s">
        <v>417</v>
      </c>
      <c r="F83" s="3" t="s">
        <v>551</v>
      </c>
      <c r="G83" s="3" t="s">
        <v>552</v>
      </c>
      <c r="H83" s="6" t="s">
        <v>187</v>
      </c>
    </row>
    <row r="84" spans="1:8" x14ac:dyDescent="0.25">
      <c r="A84" t="s">
        <v>301</v>
      </c>
      <c r="B84" s="3">
        <v>3</v>
      </c>
      <c r="C84" s="3">
        <v>1661105700</v>
      </c>
      <c r="D84" s="3">
        <v>1661110200</v>
      </c>
      <c r="E84" s="3" t="s">
        <v>417</v>
      </c>
      <c r="F84" s="3" t="s">
        <v>553</v>
      </c>
      <c r="G84" s="3" t="s">
        <v>554</v>
      </c>
      <c r="H84" s="6" t="s">
        <v>22</v>
      </c>
    </row>
  </sheetData>
  <phoneticPr fontId="2" type="noConversion"/>
  <hyperlinks>
    <hyperlink ref="H2" r:id="rId1" xr:uid="{D52B254C-7BDA-4ADB-9FED-F789048E626A}"/>
    <hyperlink ref="H3" r:id="rId2" xr:uid="{07735DF0-5B30-4955-BA63-1B8F52BEA070}"/>
    <hyperlink ref="H4" r:id="rId3" xr:uid="{9F7386B2-FD6E-4903-94AB-CB86E7B327A8}"/>
    <hyperlink ref="H5" r:id="rId4" xr:uid="{A63F513A-DD3F-4275-82D9-57BCDA36EFB7}"/>
    <hyperlink ref="H6" r:id="rId5" xr:uid="{1E56937A-054F-4C61-AA67-9DDD91CE8707}"/>
    <hyperlink ref="H7" r:id="rId6" xr:uid="{D7C2C906-6126-489D-B39B-9C2051D3BBF9}"/>
    <hyperlink ref="H8" r:id="rId7" xr:uid="{B0B5F05E-1846-4397-8A3B-6398927A7FE5}"/>
    <hyperlink ref="H9" r:id="rId8" xr:uid="{7C3D9216-8B38-46FF-AB8F-0707D45414EB}"/>
    <hyperlink ref="H10" r:id="rId9" xr:uid="{2F2B189B-CDEC-41D7-8D4D-253A242F8A58}"/>
    <hyperlink ref="H11" r:id="rId10" xr:uid="{F5A47E05-BF7A-49E9-8E26-9480EDA02079}"/>
    <hyperlink ref="H12" r:id="rId11" xr:uid="{4861A0D9-0253-431C-A1D3-B74B315D22F6}"/>
    <hyperlink ref="H13" r:id="rId12" xr:uid="{41A310D8-78DE-4BAB-808F-2EFC145AF615}"/>
    <hyperlink ref="H14" r:id="rId13" xr:uid="{FA7B1A6D-EE99-4D12-8F41-7A6128FB65D0}"/>
    <hyperlink ref="H15" r:id="rId14" xr:uid="{26B0CD06-1C6D-4B05-8945-9B7552B60013}"/>
    <hyperlink ref="H16" r:id="rId15" xr:uid="{097A647D-B594-4636-84BF-366AEF2D456C}"/>
    <hyperlink ref="H17" r:id="rId16" xr:uid="{503150D8-A19F-4845-BD4B-6E3A3E4B585A}"/>
    <hyperlink ref="H18" r:id="rId17" xr:uid="{989ADFE5-B61D-40CA-B66C-94548C4A931A}"/>
    <hyperlink ref="H19" r:id="rId18" xr:uid="{33C6C700-3028-45F8-BFF2-C515109E8BAB}"/>
    <hyperlink ref="H20" r:id="rId19" xr:uid="{9701DBE9-6E36-4CBA-949E-F49A04B3B7A7}"/>
    <hyperlink ref="H21" r:id="rId20" xr:uid="{007B6A58-2129-4BC0-8429-BD537151F844}"/>
    <hyperlink ref="H22" r:id="rId21" xr:uid="{B114F50E-8561-42C2-8A16-9A460A5673D5}"/>
    <hyperlink ref="H23" r:id="rId22" xr:uid="{198BB1E4-B7A6-4859-8731-E23AD740D87A}"/>
    <hyperlink ref="H24" r:id="rId23" xr:uid="{85046254-9DC3-480A-8A73-4017FCF744C8}"/>
    <hyperlink ref="H25" r:id="rId24" xr:uid="{7D2374FF-3FC5-4B5C-B929-891A28F37BCF}"/>
    <hyperlink ref="H26" r:id="rId25" xr:uid="{060A69B5-81E8-4C55-88D9-6762ED8CEF49}"/>
    <hyperlink ref="H27" r:id="rId26" xr:uid="{F52CB951-4E63-4B87-906B-2912327B5FF4}"/>
    <hyperlink ref="H28" r:id="rId27" xr:uid="{0633AD7F-617A-437A-B46F-86ECEC6CD0A0}"/>
    <hyperlink ref="H31" r:id="rId28" xr:uid="{8F0A50CA-1F50-4185-AF45-F802ECFDDC72}"/>
    <hyperlink ref="H33" r:id="rId29" xr:uid="{F503BD77-B3AF-4FA2-B312-9745D6787051}"/>
    <hyperlink ref="H34" r:id="rId30" xr:uid="{6C763992-4708-4213-85A1-C1D760513773}"/>
    <hyperlink ref="H35" r:id="rId31" xr:uid="{C76F9D3E-7C16-4406-88A3-2326F746A603}"/>
    <hyperlink ref="H36" r:id="rId32" xr:uid="{AF6C6704-7257-4AF5-B32F-8C3CDDCB2AD8}"/>
    <hyperlink ref="H37" r:id="rId33" xr:uid="{30051881-C6A5-4874-B461-4B0A8D93FB84}"/>
    <hyperlink ref="H38" r:id="rId34" xr:uid="{E4855DF8-674B-41F5-9DE3-8243DAC56A11}"/>
    <hyperlink ref="H39" r:id="rId35" xr:uid="{C7897A4B-1D3F-40DA-B040-E723395030CB}"/>
    <hyperlink ref="H40" r:id="rId36" xr:uid="{5D931DD3-88D6-4379-A344-F36A1B7F986B}"/>
    <hyperlink ref="H41" r:id="rId37" xr:uid="{3A76CBC7-EFA2-4ED5-BCAF-C949EC38623B}"/>
    <hyperlink ref="H42" r:id="rId38" xr:uid="{5431D573-F27F-4361-BA54-DAE178C638C1}"/>
    <hyperlink ref="H44" r:id="rId39" xr:uid="{E005C865-816A-4D95-9C89-38E234C056CF}"/>
    <hyperlink ref="H45" r:id="rId40" xr:uid="{58F8147D-F378-4DA9-8851-C8C16F6CDB84}"/>
    <hyperlink ref="H46" r:id="rId41" xr:uid="{C692199D-9C71-4490-B43F-FF3902C0E157}"/>
    <hyperlink ref="H47" r:id="rId42" xr:uid="{A12CAAF3-49A6-40EA-B428-AEF6C596EE2D}"/>
    <hyperlink ref="H48" r:id="rId43" xr:uid="{5D85C99A-1665-4ABF-B624-E983EF75BD56}"/>
    <hyperlink ref="H49" r:id="rId44" xr:uid="{5BF9A4D3-A73E-47F4-8405-82FFDBFDD7F0}"/>
    <hyperlink ref="H50" r:id="rId45" xr:uid="{C5450D43-2D73-4323-B72D-960E31167A70}"/>
    <hyperlink ref="H51" r:id="rId46" xr:uid="{F2C1E378-8622-4C36-BA9B-84DB26B5D4EB}"/>
    <hyperlink ref="H52" r:id="rId47" xr:uid="{03D25F2E-274F-4BB1-9BEB-3DEF5A84646C}"/>
    <hyperlink ref="H53" r:id="rId48" xr:uid="{E8983070-FE07-4296-A81B-543077C303A6}"/>
    <hyperlink ref="H54" r:id="rId49" xr:uid="{1BD1575C-EED0-4E11-86EE-D7B3FB39E34A}"/>
    <hyperlink ref="H55" r:id="rId50" xr:uid="{2DF23F70-0099-406C-B1E0-6C2A24E95B5D}"/>
    <hyperlink ref="H56" r:id="rId51" xr:uid="{37693A0F-DECF-457F-92C7-4343FFF909FD}"/>
    <hyperlink ref="H57" r:id="rId52" xr:uid="{CEE1CD7C-6E96-4AF2-BD43-CF0A435FD94C}"/>
    <hyperlink ref="H58" r:id="rId53" xr:uid="{EED0F78C-7948-42DB-A715-5343F463CC1F}"/>
    <hyperlink ref="H59" r:id="rId54" xr:uid="{E9C5881E-D40F-4D10-93A5-679F97E16E65}"/>
    <hyperlink ref="H60" r:id="rId55" xr:uid="{354D1573-0DAE-4CB1-A66B-9A498BFA3FC1}"/>
    <hyperlink ref="H61" r:id="rId56" xr:uid="{7D5910C2-E52F-421B-9048-C40363BBE49D}"/>
    <hyperlink ref="H63" r:id="rId57" xr:uid="{053F1039-C96A-44E6-8D3C-D503702733E2}"/>
    <hyperlink ref="H64" r:id="rId58" xr:uid="{ED087AFF-C96F-4D3B-94FA-AF6A4DB48995}"/>
    <hyperlink ref="H65" r:id="rId59" xr:uid="{65AB92F8-BE13-4DC4-BD01-1DEC961C1494}"/>
    <hyperlink ref="H66" r:id="rId60" xr:uid="{259C5A40-B3CF-4EC7-88D2-05FD3D1A34AD}"/>
    <hyperlink ref="H67" r:id="rId61" xr:uid="{F9F2AB7E-35C3-42D1-9077-4BB919C51B39}"/>
    <hyperlink ref="H68" r:id="rId62" xr:uid="{753C60AB-BCD6-4A1F-AAAA-21372BCF8947}"/>
    <hyperlink ref="H69" r:id="rId63" xr:uid="{BC926913-6D1A-4BDF-8468-9274673134F2}"/>
    <hyperlink ref="H70" r:id="rId64" xr:uid="{1E02AF64-E424-4A5B-8AC0-6749A0FA1AC7}"/>
    <hyperlink ref="H71" r:id="rId65" xr:uid="{5EBDCC61-7E56-4CD9-A907-B85E334FF230}"/>
    <hyperlink ref="H72" r:id="rId66" xr:uid="{4AC03C25-C488-441F-A7F0-56DA73BA68F7}"/>
    <hyperlink ref="H73" r:id="rId67" xr:uid="{F460D8F9-EDCF-42FC-8992-47D398DDEAF5}"/>
    <hyperlink ref="H74" r:id="rId68" xr:uid="{0F580EEB-4279-4A8F-8904-99688A338DB1}"/>
    <hyperlink ref="H75" r:id="rId69" xr:uid="{3B3D3707-3153-491D-A8A1-CFE045B00F82}"/>
    <hyperlink ref="H76" r:id="rId70" xr:uid="{84DDEF58-A72D-48C3-B814-25805D59E27E}"/>
    <hyperlink ref="H77" r:id="rId71" xr:uid="{39271A44-9761-4095-A291-A10101640EA4}"/>
    <hyperlink ref="H78" r:id="rId72" xr:uid="{1672A21A-3F0F-4C24-B0AF-8A6506ED87E9}"/>
    <hyperlink ref="H79" r:id="rId73" xr:uid="{6B424593-4965-42D8-8ACB-BC8D3EF0E194}"/>
    <hyperlink ref="H80" r:id="rId74" xr:uid="{C487F785-6B9E-4AC5-B179-BF9C6F324F4E}"/>
    <hyperlink ref="H81" r:id="rId75" xr:uid="{D82604D8-2034-467B-98AF-86542763FB24}"/>
    <hyperlink ref="H82" r:id="rId76" xr:uid="{01452E1D-94F5-46D5-A507-A2B2A971B84B}"/>
    <hyperlink ref="H83" r:id="rId77" xr:uid="{6377AEB4-7C64-4ED1-A922-3592ACF330D3}"/>
    <hyperlink ref="H84" r:id="rId78" xr:uid="{8FD1D53B-09B9-4EB5-90B8-675AAA80F54E}"/>
    <hyperlink ref="H43" r:id="rId79" xr:uid="{2974A72D-62FA-4E5B-911B-CEB4308CD4B9}"/>
  </hyperlinks>
  <pageMargins left="0.7" right="0.7" top="0.78740157499999996" bottom="0.78740157499999996" header="0.3" footer="0.3"/>
  <pageSetup paperSize="9" orientation="portrait" r:id="rId8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K84"/>
  <sheetViews>
    <sheetView workbookViewId="0"/>
  </sheetViews>
  <sheetFormatPr baseColWidth="10" defaultRowHeight="15" x14ac:dyDescent="0.25"/>
  <cols>
    <col min="3" max="3" width="32.42578125" bestFit="1" customWidth="1"/>
    <col min="6" max="6" width="31.140625" bestFit="1" customWidth="1"/>
    <col min="8" max="8" width="15.140625" bestFit="1" customWidth="1"/>
    <col min="9" max="9" width="17.5703125" customWidth="1"/>
  </cols>
  <sheetData>
    <row r="1" spans="1:11" x14ac:dyDescent="0.25">
      <c r="A1" s="3" t="s">
        <v>28</v>
      </c>
      <c r="B1" s="3" t="s">
        <v>29</v>
      </c>
      <c r="C1" s="3" t="s">
        <v>1</v>
      </c>
      <c r="D1" s="3" t="s">
        <v>7</v>
      </c>
      <c r="E1" s="3" t="s">
        <v>30</v>
      </c>
      <c r="F1" s="3" t="s">
        <v>3</v>
      </c>
      <c r="G1" s="3" t="s">
        <v>2</v>
      </c>
      <c r="H1" s="3" t="s">
        <v>333</v>
      </c>
      <c r="I1" s="3" t="s">
        <v>4</v>
      </c>
    </row>
    <row r="2" spans="1:11" x14ac:dyDescent="0.25">
      <c r="A2" s="3" t="s">
        <v>163</v>
      </c>
      <c r="B2" s="3" t="s">
        <v>32</v>
      </c>
      <c r="C2" s="3" t="s">
        <v>164</v>
      </c>
      <c r="D2" s="3" t="s">
        <v>164</v>
      </c>
      <c r="E2" s="3" t="s">
        <v>9</v>
      </c>
      <c r="F2" s="3" t="s">
        <v>377</v>
      </c>
      <c r="G2" s="3" t="s">
        <v>47</v>
      </c>
      <c r="H2" s="4" t="str">
        <f t="shared" ref="H2:H33" si="0">RIGHT(F2,16)</f>
        <v>10.08.2022 18:30</v>
      </c>
      <c r="I2" s="5">
        <f t="shared" ref="I2:I14" si="1">H2+J2</f>
        <v>44783.8125</v>
      </c>
      <c r="J2">
        <f t="shared" ref="J2:J14" si="2">K2/60/24</f>
        <v>4.1666666666666664E-2</v>
      </c>
      <c r="K2">
        <v>60</v>
      </c>
    </row>
    <row r="3" spans="1:11" x14ac:dyDescent="0.25">
      <c r="A3" s="3" t="s">
        <v>143</v>
      </c>
      <c r="B3" s="3" t="s">
        <v>32</v>
      </c>
      <c r="C3" s="3" t="s">
        <v>144</v>
      </c>
      <c r="D3" s="3" t="s">
        <v>144</v>
      </c>
      <c r="E3" s="3" t="s">
        <v>145</v>
      </c>
      <c r="F3" s="3" t="s">
        <v>370</v>
      </c>
      <c r="G3" s="3" t="s">
        <v>39</v>
      </c>
      <c r="H3" s="4" t="str">
        <f t="shared" si="0"/>
        <v>10.08.2022 19:30</v>
      </c>
      <c r="I3" s="5">
        <f t="shared" si="1"/>
        <v>44783.822916666664</v>
      </c>
      <c r="J3">
        <f t="shared" si="2"/>
        <v>1.0416666666666666E-2</v>
      </c>
      <c r="K3">
        <v>15</v>
      </c>
    </row>
    <row r="4" spans="1:11" x14ac:dyDescent="0.25">
      <c r="A4" s="3" t="s">
        <v>173</v>
      </c>
      <c r="B4" s="3" t="s">
        <v>32</v>
      </c>
      <c r="C4" s="3" t="s">
        <v>174</v>
      </c>
      <c r="D4" s="3" t="s">
        <v>174</v>
      </c>
      <c r="E4" s="3" t="s">
        <v>175</v>
      </c>
      <c r="F4" s="3" t="s">
        <v>380</v>
      </c>
      <c r="G4" s="3" t="s">
        <v>47</v>
      </c>
      <c r="H4" s="4" t="str">
        <f t="shared" si="0"/>
        <v>10.08.2022 20:15</v>
      </c>
      <c r="I4" s="5">
        <f t="shared" si="1"/>
        <v>44783.90625</v>
      </c>
      <c r="J4">
        <f t="shared" si="2"/>
        <v>6.25E-2</v>
      </c>
      <c r="K4">
        <v>90</v>
      </c>
    </row>
    <row r="5" spans="1:11" x14ac:dyDescent="0.25">
      <c r="A5" s="3" t="s">
        <v>72</v>
      </c>
      <c r="B5" s="3" t="s">
        <v>32</v>
      </c>
      <c r="C5" s="3" t="s">
        <v>73</v>
      </c>
      <c r="D5" s="3" t="s">
        <v>73</v>
      </c>
      <c r="E5" s="3" t="s">
        <v>74</v>
      </c>
      <c r="F5" s="3" t="s">
        <v>346</v>
      </c>
      <c r="G5" s="3" t="s">
        <v>35</v>
      </c>
      <c r="H5" s="4" t="str">
        <f t="shared" si="0"/>
        <v>10.08.2022 20:30</v>
      </c>
      <c r="I5" s="5">
        <f t="shared" si="1"/>
        <v>44783.90625</v>
      </c>
      <c r="J5">
        <f t="shared" si="2"/>
        <v>5.2083333333333336E-2</v>
      </c>
      <c r="K5">
        <v>75</v>
      </c>
    </row>
    <row r="6" spans="1:11" x14ac:dyDescent="0.25">
      <c r="A6" s="3" t="s">
        <v>57</v>
      </c>
      <c r="B6" s="3" t="s">
        <v>32</v>
      </c>
      <c r="C6" s="3" t="s">
        <v>58</v>
      </c>
      <c r="D6" s="3" t="s">
        <v>58</v>
      </c>
      <c r="E6" s="3" t="s">
        <v>59</v>
      </c>
      <c r="F6" s="3" t="s">
        <v>341</v>
      </c>
      <c r="G6" s="3" t="s">
        <v>47</v>
      </c>
      <c r="H6" s="4" t="str">
        <f t="shared" si="0"/>
        <v>11.08.2022 18:30</v>
      </c>
      <c r="I6" s="5">
        <f t="shared" si="1"/>
        <v>44784.802083333336</v>
      </c>
      <c r="J6">
        <f t="shared" si="2"/>
        <v>3.125E-2</v>
      </c>
      <c r="K6">
        <v>45</v>
      </c>
    </row>
    <row r="7" spans="1:11" x14ac:dyDescent="0.25">
      <c r="A7" s="3" t="s">
        <v>92</v>
      </c>
      <c r="B7" s="3" t="s">
        <v>32</v>
      </c>
      <c r="C7" s="3" t="s">
        <v>93</v>
      </c>
      <c r="D7" s="3" t="s">
        <v>93</v>
      </c>
      <c r="E7" s="3" t="s">
        <v>94</v>
      </c>
      <c r="F7" s="3" t="s">
        <v>352</v>
      </c>
      <c r="G7" s="3" t="s">
        <v>39</v>
      </c>
      <c r="H7" s="4" t="str">
        <f t="shared" si="0"/>
        <v>11.08.2022 19:15</v>
      </c>
      <c r="I7" s="5">
        <f t="shared" si="1"/>
        <v>44784.8125</v>
      </c>
      <c r="J7">
        <f t="shared" si="2"/>
        <v>1.0416666666666666E-2</v>
      </c>
      <c r="K7">
        <v>15</v>
      </c>
    </row>
    <row r="8" spans="1:11" x14ac:dyDescent="0.25">
      <c r="A8" s="3" t="s">
        <v>214</v>
      </c>
      <c r="B8" s="3" t="s">
        <v>32</v>
      </c>
      <c r="C8" s="3" t="s">
        <v>215</v>
      </c>
      <c r="D8" s="3" t="s">
        <v>215</v>
      </c>
      <c r="E8" s="3" t="s">
        <v>216</v>
      </c>
      <c r="F8" s="3" t="s">
        <v>393</v>
      </c>
      <c r="G8" s="3" t="s">
        <v>47</v>
      </c>
      <c r="H8" s="4" t="str">
        <f t="shared" si="0"/>
        <v>11.08.2022 20:00</v>
      </c>
      <c r="I8" s="5">
        <f t="shared" si="1"/>
        <v>44784.864583333336</v>
      </c>
      <c r="J8">
        <f t="shared" si="2"/>
        <v>3.125E-2</v>
      </c>
      <c r="K8">
        <v>45</v>
      </c>
    </row>
    <row r="9" spans="1:11" x14ac:dyDescent="0.25">
      <c r="A9" s="3" t="s">
        <v>138</v>
      </c>
      <c r="B9" s="3" t="s">
        <v>32</v>
      </c>
      <c r="C9" s="3" t="s">
        <v>139</v>
      </c>
      <c r="D9" s="3" t="s">
        <v>139</v>
      </c>
      <c r="E9" s="3" t="s">
        <v>140</v>
      </c>
      <c r="F9" s="3" t="s">
        <v>368</v>
      </c>
      <c r="G9" s="3" t="s">
        <v>35</v>
      </c>
      <c r="H9" s="4" t="str">
        <f t="shared" si="0"/>
        <v>11.08.2022 20:30</v>
      </c>
      <c r="I9" s="5">
        <f t="shared" si="1"/>
        <v>44784.90625</v>
      </c>
      <c r="J9">
        <f t="shared" si="2"/>
        <v>5.2083333333333336E-2</v>
      </c>
      <c r="K9">
        <v>75</v>
      </c>
    </row>
    <row r="10" spans="1:11" x14ac:dyDescent="0.25">
      <c r="A10" s="3" t="s">
        <v>167</v>
      </c>
      <c r="B10" s="3" t="s">
        <v>32</v>
      </c>
      <c r="C10" s="3" t="s">
        <v>168</v>
      </c>
      <c r="D10" s="3" t="s">
        <v>168</v>
      </c>
      <c r="E10" s="3" t="s">
        <v>169</v>
      </c>
      <c r="F10" s="3" t="s">
        <v>378</v>
      </c>
      <c r="G10" s="3" t="s">
        <v>47</v>
      </c>
      <c r="H10" s="4" t="str">
        <f t="shared" si="0"/>
        <v>11.08.2022 21:30</v>
      </c>
      <c r="I10" s="5">
        <f t="shared" si="1"/>
        <v>44784.947916666672</v>
      </c>
      <c r="J10">
        <f t="shared" si="2"/>
        <v>5.2083333333333336E-2</v>
      </c>
      <c r="K10">
        <v>75</v>
      </c>
    </row>
    <row r="11" spans="1:11" x14ac:dyDescent="0.25">
      <c r="A11" s="3" t="s">
        <v>106</v>
      </c>
      <c r="B11" s="3" t="s">
        <v>32</v>
      </c>
      <c r="C11" s="3" t="s">
        <v>107</v>
      </c>
      <c r="D11" s="3" t="s">
        <v>107</v>
      </c>
      <c r="E11" s="3" t="s">
        <v>108</v>
      </c>
      <c r="F11" s="3" t="s">
        <v>357</v>
      </c>
      <c r="G11" s="3" t="s">
        <v>81</v>
      </c>
      <c r="H11" s="4" t="str">
        <f t="shared" si="0"/>
        <v>12.08.2022 11:45</v>
      </c>
      <c r="I11" s="5">
        <f t="shared" si="1"/>
        <v>44785.53125</v>
      </c>
      <c r="J11">
        <f t="shared" si="2"/>
        <v>4.1666666666666664E-2</v>
      </c>
      <c r="K11">
        <v>60</v>
      </c>
    </row>
    <row r="12" spans="1:11" x14ac:dyDescent="0.25">
      <c r="A12" s="3" t="s">
        <v>129</v>
      </c>
      <c r="B12" s="3" t="s">
        <v>32</v>
      </c>
      <c r="C12" s="3" t="s">
        <v>130</v>
      </c>
      <c r="D12" s="3" t="s">
        <v>130</v>
      </c>
      <c r="E12" s="3" t="s">
        <v>131</v>
      </c>
      <c r="F12" s="3" t="s">
        <v>365</v>
      </c>
      <c r="G12" s="3" t="s">
        <v>47</v>
      </c>
      <c r="H12" s="4" t="str">
        <f t="shared" si="0"/>
        <v>12.08.2022 18:30</v>
      </c>
      <c r="I12" s="5">
        <f t="shared" si="1"/>
        <v>44785.802083333336</v>
      </c>
      <c r="J12">
        <f t="shared" si="2"/>
        <v>3.125E-2</v>
      </c>
      <c r="K12">
        <v>45</v>
      </c>
    </row>
    <row r="13" spans="1:11" x14ac:dyDescent="0.25">
      <c r="A13" s="3" t="s">
        <v>199</v>
      </c>
      <c r="B13" s="3" t="s">
        <v>32</v>
      </c>
      <c r="C13" s="3" t="s">
        <v>200</v>
      </c>
      <c r="D13" s="3" t="s">
        <v>200</v>
      </c>
      <c r="E13" s="3" t="s">
        <v>201</v>
      </c>
      <c r="F13" s="3" t="s">
        <v>389</v>
      </c>
      <c r="G13" s="3" t="s">
        <v>39</v>
      </c>
      <c r="H13" s="4" t="str">
        <f t="shared" si="0"/>
        <v>12.08.2022 19:15</v>
      </c>
      <c r="I13" s="5">
        <f t="shared" si="1"/>
        <v>44785.8125</v>
      </c>
      <c r="J13">
        <f t="shared" si="2"/>
        <v>1.0416666666666666E-2</v>
      </c>
      <c r="K13">
        <v>15</v>
      </c>
    </row>
    <row r="14" spans="1:11" x14ac:dyDescent="0.25">
      <c r="A14" s="3" t="s">
        <v>157</v>
      </c>
      <c r="B14" s="3" t="s">
        <v>32</v>
      </c>
      <c r="C14" s="3" t="s">
        <v>158</v>
      </c>
      <c r="D14" s="3" t="s">
        <v>158</v>
      </c>
      <c r="E14" s="3" t="s">
        <v>159</v>
      </c>
      <c r="F14" s="3" t="s">
        <v>375</v>
      </c>
      <c r="G14" s="3" t="s">
        <v>47</v>
      </c>
      <c r="H14" s="4" t="str">
        <f t="shared" si="0"/>
        <v>12.08.2022 20:00</v>
      </c>
      <c r="I14" s="5">
        <f t="shared" si="1"/>
        <v>44785.864583333336</v>
      </c>
      <c r="J14">
        <f t="shared" si="2"/>
        <v>3.125E-2</v>
      </c>
      <c r="K14">
        <v>45</v>
      </c>
    </row>
    <row r="15" spans="1:11" x14ac:dyDescent="0.25">
      <c r="A15" s="3" t="s">
        <v>211</v>
      </c>
      <c r="B15" s="3" t="s">
        <v>32</v>
      </c>
      <c r="C15" s="3" t="s">
        <v>212</v>
      </c>
      <c r="D15" s="3" t="s">
        <v>212</v>
      </c>
      <c r="E15" s="3" t="s">
        <v>213</v>
      </c>
      <c r="F15" s="3" t="s">
        <v>392</v>
      </c>
      <c r="G15" s="3" t="s">
        <v>85</v>
      </c>
      <c r="H15" s="4" t="str">
        <f t="shared" si="0"/>
        <v>12.08.2022 20:15</v>
      </c>
      <c r="I15" s="5">
        <f t="shared" ref="I15:I16" si="3">H15+J15</f>
        <v>44785.895833333336</v>
      </c>
      <c r="J15">
        <f t="shared" ref="J15:J16" si="4">K15/60/24</f>
        <v>5.2083333333333336E-2</v>
      </c>
      <c r="K15">
        <v>75</v>
      </c>
    </row>
    <row r="16" spans="1:11" x14ac:dyDescent="0.25">
      <c r="A16" s="3" t="s">
        <v>48</v>
      </c>
      <c r="B16" s="3" t="s">
        <v>32</v>
      </c>
      <c r="C16" s="3" t="s">
        <v>49</v>
      </c>
      <c r="D16" s="3" t="s">
        <v>49</v>
      </c>
      <c r="E16" s="3" t="s">
        <v>50</v>
      </c>
      <c r="F16" s="3" t="s">
        <v>338</v>
      </c>
      <c r="G16" s="3" t="s">
        <v>35</v>
      </c>
      <c r="H16" s="4" t="str">
        <f t="shared" si="0"/>
        <v>12.08.2022 20:30</v>
      </c>
      <c r="I16" s="5">
        <f t="shared" si="3"/>
        <v>44785.90625</v>
      </c>
      <c r="J16">
        <f t="shared" si="4"/>
        <v>5.2083333333333336E-2</v>
      </c>
      <c r="K16">
        <v>75</v>
      </c>
    </row>
    <row r="17" spans="1:11" x14ac:dyDescent="0.25">
      <c r="A17" s="3" t="s">
        <v>75</v>
      </c>
      <c r="B17" s="3" t="s">
        <v>32</v>
      </c>
      <c r="C17" s="3" t="s">
        <v>76</v>
      </c>
      <c r="D17" s="3" t="s">
        <v>76</v>
      </c>
      <c r="E17" s="3" t="s">
        <v>77</v>
      </c>
      <c r="F17" s="3" t="s">
        <v>347</v>
      </c>
      <c r="G17" s="3" t="s">
        <v>47</v>
      </c>
      <c r="H17" s="4" t="str">
        <f t="shared" si="0"/>
        <v>12.08.2022 21:15</v>
      </c>
      <c r="I17" s="5">
        <f t="shared" ref="I17:I18" si="5">H17+J17</f>
        <v>44785.927083333328</v>
      </c>
      <c r="J17">
        <f t="shared" ref="J17:J18" si="6">K17/60/24</f>
        <v>4.1666666666666664E-2</v>
      </c>
      <c r="K17">
        <v>60</v>
      </c>
    </row>
    <row r="18" spans="1:11" x14ac:dyDescent="0.25">
      <c r="A18" s="3" t="s">
        <v>69</v>
      </c>
      <c r="B18" s="3" t="s">
        <v>32</v>
      </c>
      <c r="C18" s="3" t="s">
        <v>70</v>
      </c>
      <c r="D18" s="3" t="s">
        <v>70</v>
      </c>
      <c r="E18" s="3" t="s">
        <v>71</v>
      </c>
      <c r="F18" s="3" t="s">
        <v>345</v>
      </c>
      <c r="G18" s="3" t="s">
        <v>47</v>
      </c>
      <c r="H18" s="4" t="str">
        <f t="shared" si="0"/>
        <v>12.08.2022 23:00</v>
      </c>
      <c r="I18" s="5">
        <f t="shared" si="5"/>
        <v>44785.993055555555</v>
      </c>
      <c r="J18">
        <f t="shared" si="6"/>
        <v>3.4722222222222224E-2</v>
      </c>
      <c r="K18">
        <v>50</v>
      </c>
    </row>
    <row r="19" spans="1:11" x14ac:dyDescent="0.25">
      <c r="A19" s="3" t="s">
        <v>126</v>
      </c>
      <c r="B19" s="3" t="s">
        <v>32</v>
      </c>
      <c r="C19" s="3" t="s">
        <v>127</v>
      </c>
      <c r="D19" s="3" t="s">
        <v>127</v>
      </c>
      <c r="E19" s="3" t="s">
        <v>128</v>
      </c>
      <c r="F19" s="3" t="s">
        <v>364</v>
      </c>
      <c r="G19" s="3" t="s">
        <v>35</v>
      </c>
      <c r="H19" s="4" t="str">
        <f t="shared" si="0"/>
        <v>13.08.2022 14:00</v>
      </c>
      <c r="I19" s="5">
        <f>H19+J19</f>
        <v>44786.78125</v>
      </c>
      <c r="J19">
        <f>K19/60/24</f>
        <v>0.19791666666666666</v>
      </c>
      <c r="K19">
        <v>285</v>
      </c>
    </row>
    <row r="20" spans="1:11" x14ac:dyDescent="0.25">
      <c r="A20" s="3" t="s">
        <v>44</v>
      </c>
      <c r="B20" s="3" t="s">
        <v>32</v>
      </c>
      <c r="C20" s="3" t="s">
        <v>45</v>
      </c>
      <c r="D20" s="3" t="s">
        <v>45</v>
      </c>
      <c r="E20" s="3" t="s">
        <v>46</v>
      </c>
      <c r="F20" s="3" t="s">
        <v>337</v>
      </c>
      <c r="G20" s="3" t="s">
        <v>47</v>
      </c>
      <c r="H20" s="4" t="str">
        <f t="shared" si="0"/>
        <v>13.08.2022 18:00</v>
      </c>
      <c r="I20" s="5">
        <f t="shared" ref="I20:I24" si="7">H20+J20</f>
        <v>44786.777777777781</v>
      </c>
      <c r="J20">
        <f t="shared" ref="J20:J24" si="8">K20/60/24</f>
        <v>2.7777777777777776E-2</v>
      </c>
      <c r="K20">
        <v>40</v>
      </c>
    </row>
    <row r="21" spans="1:11" x14ac:dyDescent="0.25">
      <c r="A21" s="3" t="s">
        <v>135</v>
      </c>
      <c r="B21" s="3" t="s">
        <v>32</v>
      </c>
      <c r="C21" s="3" t="s">
        <v>136</v>
      </c>
      <c r="D21" s="3" t="s">
        <v>136</v>
      </c>
      <c r="E21" s="3" t="s">
        <v>137</v>
      </c>
      <c r="F21" s="3" t="s">
        <v>367</v>
      </c>
      <c r="G21" s="3" t="s">
        <v>47</v>
      </c>
      <c r="H21" s="4" t="str">
        <f t="shared" si="0"/>
        <v>13.08.2022 19:10</v>
      </c>
      <c r="I21" s="5">
        <f t="shared" si="7"/>
        <v>44786.826388888891</v>
      </c>
      <c r="J21">
        <f t="shared" si="8"/>
        <v>2.7777777777777776E-2</v>
      </c>
      <c r="K21">
        <v>40</v>
      </c>
    </row>
    <row r="22" spans="1:11" x14ac:dyDescent="0.25">
      <c r="A22" s="3" t="s">
        <v>251</v>
      </c>
      <c r="B22" s="3" t="s">
        <v>32</v>
      </c>
      <c r="C22" s="3" t="s">
        <v>252</v>
      </c>
      <c r="D22" s="3" t="s">
        <v>252</v>
      </c>
      <c r="E22" s="3" t="s">
        <v>253</v>
      </c>
      <c r="F22" s="3" t="s">
        <v>403</v>
      </c>
      <c r="G22" s="3" t="s">
        <v>35</v>
      </c>
      <c r="H22" s="4" t="str">
        <f t="shared" si="0"/>
        <v>13.08.2022 19:30</v>
      </c>
      <c r="I22" s="5">
        <f t="shared" si="7"/>
        <v>44786.840277777781</v>
      </c>
      <c r="J22">
        <f t="shared" si="8"/>
        <v>2.7777777777777776E-2</v>
      </c>
      <c r="K22">
        <v>40</v>
      </c>
    </row>
    <row r="23" spans="1:11" x14ac:dyDescent="0.25">
      <c r="A23" s="3" t="s">
        <v>165</v>
      </c>
      <c r="B23" s="3" t="s">
        <v>32</v>
      </c>
      <c r="C23" s="3" t="s">
        <v>166</v>
      </c>
      <c r="D23" s="3" t="s">
        <v>166</v>
      </c>
      <c r="E23" s="3" t="s">
        <v>25</v>
      </c>
      <c r="F23" s="3" t="s">
        <v>416</v>
      </c>
      <c r="G23" s="3" t="s">
        <v>39</v>
      </c>
      <c r="H23" s="4" t="str">
        <f t="shared" si="0"/>
        <v>13.08.2022 19:50</v>
      </c>
      <c r="I23" s="5">
        <f t="shared" si="7"/>
        <v>44786.836805555555</v>
      </c>
      <c r="J23">
        <f t="shared" si="8"/>
        <v>1.0416666666666666E-2</v>
      </c>
      <c r="K23">
        <v>15</v>
      </c>
    </row>
    <row r="24" spans="1:11" x14ac:dyDescent="0.25">
      <c r="A24" s="3" t="s">
        <v>82</v>
      </c>
      <c r="B24" s="3" t="s">
        <v>32</v>
      </c>
      <c r="C24" s="3" t="s">
        <v>83</v>
      </c>
      <c r="D24" s="3" t="s">
        <v>83</v>
      </c>
      <c r="E24" s="3" t="s">
        <v>84</v>
      </c>
      <c r="F24" s="3" t="s">
        <v>349</v>
      </c>
      <c r="G24" s="3" t="s">
        <v>85</v>
      </c>
      <c r="H24" s="4" t="str">
        <f t="shared" si="0"/>
        <v>13.08.2022 20:15</v>
      </c>
      <c r="I24" s="5">
        <f t="shared" si="7"/>
        <v>44786.885416666664</v>
      </c>
      <c r="J24">
        <f t="shared" si="8"/>
        <v>4.1666666666666664E-2</v>
      </c>
      <c r="K24">
        <v>60</v>
      </c>
    </row>
    <row r="25" spans="1:11" x14ac:dyDescent="0.25">
      <c r="A25" s="3" t="s">
        <v>89</v>
      </c>
      <c r="B25" s="3" t="s">
        <v>32</v>
      </c>
      <c r="C25" s="3" t="s">
        <v>90</v>
      </c>
      <c r="D25" s="3" t="s">
        <v>90</v>
      </c>
      <c r="E25" s="3" t="s">
        <v>91</v>
      </c>
      <c r="F25" s="3" t="s">
        <v>351</v>
      </c>
      <c r="G25" s="3" t="s">
        <v>47</v>
      </c>
      <c r="H25" s="4" t="str">
        <f t="shared" si="0"/>
        <v>13.08.2022 20:30</v>
      </c>
      <c r="I25" s="5">
        <f>H25+J25</f>
        <v>44786.885416666664</v>
      </c>
      <c r="J25">
        <f>K25/60/24</f>
        <v>3.125E-2</v>
      </c>
      <c r="K25">
        <v>45</v>
      </c>
    </row>
    <row r="26" spans="1:11" x14ac:dyDescent="0.25">
      <c r="A26" s="3" t="s">
        <v>219</v>
      </c>
      <c r="B26" s="3" t="s">
        <v>32</v>
      </c>
      <c r="C26" s="3" t="s">
        <v>220</v>
      </c>
      <c r="D26" s="3" t="s">
        <v>220</v>
      </c>
      <c r="E26" s="3" t="s">
        <v>20</v>
      </c>
      <c r="F26" s="3" t="s">
        <v>394</v>
      </c>
      <c r="G26" s="3" t="s">
        <v>35</v>
      </c>
      <c r="H26" s="4" t="str">
        <f t="shared" si="0"/>
        <v>13.08.2022 20:45</v>
      </c>
      <c r="I26" s="5">
        <f>H26+J26</f>
        <v>44786.90625</v>
      </c>
      <c r="J26">
        <f>K26/60/24</f>
        <v>4.1666666666666664E-2</v>
      </c>
      <c r="K26">
        <v>60</v>
      </c>
    </row>
    <row r="27" spans="1:11" x14ac:dyDescent="0.25">
      <c r="A27" s="3" t="s">
        <v>63</v>
      </c>
      <c r="B27" s="3" t="s">
        <v>32</v>
      </c>
      <c r="C27" s="3" t="s">
        <v>64</v>
      </c>
      <c r="D27" s="3" t="s">
        <v>64</v>
      </c>
      <c r="E27" s="3" t="s">
        <v>65</v>
      </c>
      <c r="F27" s="3" t="s">
        <v>343</v>
      </c>
      <c r="G27" s="3" t="s">
        <v>47</v>
      </c>
      <c r="H27" s="4" t="str">
        <f t="shared" si="0"/>
        <v>13.08.2022 21:45</v>
      </c>
      <c r="I27" s="5">
        <f t="shared" ref="I27:I33" si="9">H27+J27</f>
        <v>44786.940972222219</v>
      </c>
      <c r="J27">
        <f t="shared" ref="J27:J33" si="10">K27/60/24</f>
        <v>3.4722222222222224E-2</v>
      </c>
      <c r="K27">
        <v>50</v>
      </c>
    </row>
    <row r="28" spans="1:11" x14ac:dyDescent="0.25">
      <c r="A28" s="3" t="s">
        <v>233</v>
      </c>
      <c r="B28" s="3" t="s">
        <v>32</v>
      </c>
      <c r="C28" s="3" t="s">
        <v>234</v>
      </c>
      <c r="D28" s="3" t="s">
        <v>234</v>
      </c>
      <c r="E28" s="3" t="s">
        <v>235</v>
      </c>
      <c r="F28" s="3" t="s">
        <v>399</v>
      </c>
      <c r="G28" s="3" t="s">
        <v>47</v>
      </c>
      <c r="H28" s="4" t="str">
        <f t="shared" si="0"/>
        <v>13.08.2022 23:00</v>
      </c>
      <c r="I28" s="5">
        <f t="shared" si="9"/>
        <v>44786.996527777781</v>
      </c>
      <c r="J28">
        <f t="shared" si="10"/>
        <v>3.8194444444444441E-2</v>
      </c>
      <c r="K28">
        <v>55</v>
      </c>
    </row>
    <row r="29" spans="1:11" x14ac:dyDescent="0.25">
      <c r="A29" s="3" t="s">
        <v>208</v>
      </c>
      <c r="B29" s="3" t="s">
        <v>32</v>
      </c>
      <c r="C29" s="3" t="s">
        <v>410</v>
      </c>
      <c r="D29" s="3"/>
      <c r="E29" s="3"/>
      <c r="F29" s="3" t="s">
        <v>411</v>
      </c>
      <c r="G29" s="3" t="s">
        <v>35</v>
      </c>
      <c r="H29" s="4" t="str">
        <f t="shared" si="0"/>
        <v>14.08.2022 14:00</v>
      </c>
      <c r="I29" s="5">
        <f>H29+J29</f>
        <v>44787.708333333336</v>
      </c>
      <c r="J29">
        <f>K29/60/24</f>
        <v>0.125</v>
      </c>
      <c r="K29">
        <v>180</v>
      </c>
    </row>
    <row r="30" spans="1:11" x14ac:dyDescent="0.25">
      <c r="A30" s="3" t="s">
        <v>208</v>
      </c>
      <c r="B30" s="3" t="s">
        <v>32</v>
      </c>
      <c r="C30" s="3" t="s">
        <v>412</v>
      </c>
      <c r="D30" s="3"/>
      <c r="E30" s="3"/>
      <c r="F30" s="3" t="s">
        <v>411</v>
      </c>
      <c r="G30" s="3" t="s">
        <v>35</v>
      </c>
      <c r="H30" s="4" t="str">
        <f t="shared" si="0"/>
        <v>14.08.2022 14:00</v>
      </c>
      <c r="I30" s="5">
        <f>H30+J30</f>
        <v>44787.708333333336</v>
      </c>
      <c r="J30">
        <f>K30/60/24</f>
        <v>0.125</v>
      </c>
      <c r="K30">
        <v>180</v>
      </c>
    </row>
    <row r="31" spans="1:11" x14ac:dyDescent="0.25">
      <c r="A31" s="3" t="s">
        <v>208</v>
      </c>
      <c r="B31" s="3" t="s">
        <v>32</v>
      </c>
      <c r="C31" s="3" t="s">
        <v>209</v>
      </c>
      <c r="D31" s="3" t="s">
        <v>209</v>
      </c>
      <c r="E31" s="3" t="s">
        <v>210</v>
      </c>
      <c r="F31" s="3" t="s">
        <v>391</v>
      </c>
      <c r="G31" s="3" t="s">
        <v>35</v>
      </c>
      <c r="H31" s="4" t="str">
        <f t="shared" si="0"/>
        <v>14.08.2022 15:00</v>
      </c>
      <c r="I31" s="5">
        <f>H31+J31</f>
        <v>44787.65625</v>
      </c>
      <c r="J31">
        <f>K31/60/24</f>
        <v>3.125E-2</v>
      </c>
      <c r="K31">
        <v>45</v>
      </c>
    </row>
    <row r="32" spans="1:11" x14ac:dyDescent="0.25">
      <c r="A32" s="3" t="s">
        <v>208</v>
      </c>
      <c r="B32" s="3" t="s">
        <v>32</v>
      </c>
      <c r="C32" s="3" t="s">
        <v>413</v>
      </c>
      <c r="D32" s="3"/>
      <c r="E32" s="3"/>
      <c r="F32" s="3" t="s">
        <v>414</v>
      </c>
      <c r="G32" s="3" t="s">
        <v>35</v>
      </c>
      <c r="H32" s="4" t="str">
        <f t="shared" si="0"/>
        <v>14.08.2022 16:30</v>
      </c>
      <c r="I32" s="5">
        <f>H32+J32</f>
        <v>44787.729166666664</v>
      </c>
      <c r="J32">
        <f>K32/60/24</f>
        <v>4.1666666666666664E-2</v>
      </c>
      <c r="K32">
        <v>60</v>
      </c>
    </row>
    <row r="33" spans="1:11" x14ac:dyDescent="0.25">
      <c r="A33" s="3"/>
      <c r="B33" s="3"/>
      <c r="C33" s="3" t="s">
        <v>404</v>
      </c>
      <c r="D33" s="3"/>
      <c r="E33" s="6" t="s">
        <v>405</v>
      </c>
      <c r="F33" s="3" t="s">
        <v>406</v>
      </c>
      <c r="G33" s="3" t="s">
        <v>47</v>
      </c>
      <c r="H33" s="4" t="str">
        <f t="shared" si="0"/>
        <v>14.08.2022 12:00</v>
      </c>
      <c r="I33" s="5">
        <f t="shared" si="9"/>
        <v>44787.625</v>
      </c>
      <c r="J33">
        <f t="shared" si="10"/>
        <v>0.125</v>
      </c>
      <c r="K33">
        <v>180</v>
      </c>
    </row>
    <row r="34" spans="1:11" x14ac:dyDescent="0.25">
      <c r="A34" s="3" t="s">
        <v>149</v>
      </c>
      <c r="B34" s="3" t="s">
        <v>32</v>
      </c>
      <c r="C34" s="3" t="s">
        <v>150</v>
      </c>
      <c r="D34" s="3" t="s">
        <v>150</v>
      </c>
      <c r="E34" s="3" t="s">
        <v>151</v>
      </c>
      <c r="F34" s="3" t="s">
        <v>372</v>
      </c>
      <c r="G34" s="3" t="s">
        <v>47</v>
      </c>
      <c r="H34" s="4" t="str">
        <f t="shared" ref="H34:H65" si="11">RIGHT(F34,16)</f>
        <v>14.08.2022 16:00</v>
      </c>
      <c r="I34" s="5">
        <f t="shared" ref="I34:I35" si="12">H34+J34</f>
        <v>44787.697916666664</v>
      </c>
      <c r="J34">
        <f t="shared" ref="J34:J35" si="13">K34/60/24</f>
        <v>3.125E-2</v>
      </c>
      <c r="K34">
        <v>45</v>
      </c>
    </row>
    <row r="35" spans="1:11" x14ac:dyDescent="0.25">
      <c r="A35" s="3" t="s">
        <v>60</v>
      </c>
      <c r="B35" s="3" t="s">
        <v>32</v>
      </c>
      <c r="C35" s="3" t="s">
        <v>61</v>
      </c>
      <c r="D35" s="3" t="s">
        <v>61</v>
      </c>
      <c r="E35" s="3" t="s">
        <v>62</v>
      </c>
      <c r="F35" s="3" t="s">
        <v>342</v>
      </c>
      <c r="G35" s="3" t="s">
        <v>47</v>
      </c>
      <c r="H35" s="4" t="str">
        <f t="shared" si="11"/>
        <v>14.08.2022 17:15</v>
      </c>
      <c r="I35" s="5">
        <f t="shared" si="12"/>
        <v>44787.760416666664</v>
      </c>
      <c r="J35">
        <f t="shared" si="13"/>
        <v>4.1666666666666664E-2</v>
      </c>
      <c r="K35">
        <v>60</v>
      </c>
    </row>
    <row r="36" spans="1:11" x14ac:dyDescent="0.25">
      <c r="A36" s="3" t="s">
        <v>112</v>
      </c>
      <c r="B36" s="3" t="s">
        <v>32</v>
      </c>
      <c r="C36" s="3" t="s">
        <v>113</v>
      </c>
      <c r="D36" s="3" t="s">
        <v>113</v>
      </c>
      <c r="E36" s="3" t="s">
        <v>114</v>
      </c>
      <c r="F36" s="3" t="s">
        <v>359</v>
      </c>
      <c r="G36" s="3" t="s">
        <v>39</v>
      </c>
      <c r="H36" s="4" t="str">
        <f t="shared" si="11"/>
        <v>14.08.2022 18:15</v>
      </c>
      <c r="I36" s="5">
        <f>H36+J36</f>
        <v>44787.770833333328</v>
      </c>
      <c r="J36">
        <f>K36/60/24</f>
        <v>1.0416666666666666E-2</v>
      </c>
      <c r="K36">
        <v>15</v>
      </c>
    </row>
    <row r="37" spans="1:11" x14ac:dyDescent="0.25">
      <c r="A37" s="3" t="s">
        <v>170</v>
      </c>
      <c r="B37" s="3" t="s">
        <v>32</v>
      </c>
      <c r="C37" s="3" t="s">
        <v>171</v>
      </c>
      <c r="D37" s="3" t="s">
        <v>171</v>
      </c>
      <c r="E37" s="3" t="s">
        <v>172</v>
      </c>
      <c r="F37" s="3" t="s">
        <v>379</v>
      </c>
      <c r="G37" s="3" t="s">
        <v>47</v>
      </c>
      <c r="H37" s="4" t="str">
        <f t="shared" si="11"/>
        <v>14.08.2022 19:00</v>
      </c>
      <c r="I37" s="5">
        <f>H37+J37</f>
        <v>44787.833333333328</v>
      </c>
      <c r="J37">
        <f>K37/60/24</f>
        <v>4.1666666666666664E-2</v>
      </c>
      <c r="K37">
        <v>60</v>
      </c>
    </row>
    <row r="38" spans="1:11" x14ac:dyDescent="0.25">
      <c r="A38" s="3" t="s">
        <v>179</v>
      </c>
      <c r="B38" s="3" t="s">
        <v>32</v>
      </c>
      <c r="C38" s="3" t="s">
        <v>180</v>
      </c>
      <c r="D38" s="3" t="s">
        <v>180</v>
      </c>
      <c r="E38" s="3" t="s">
        <v>181</v>
      </c>
      <c r="F38" s="3" t="s">
        <v>382</v>
      </c>
      <c r="G38" s="3" t="s">
        <v>85</v>
      </c>
      <c r="H38" s="4" t="str">
        <f t="shared" si="11"/>
        <v>14.08.2022 20:15</v>
      </c>
      <c r="I38" s="5">
        <f t="shared" ref="I38:I39" si="14">H38+J38</f>
        <v>44787.895833333336</v>
      </c>
      <c r="J38">
        <f t="shared" ref="J38:J39" si="15">K38/60/24</f>
        <v>5.2083333333333336E-2</v>
      </c>
      <c r="K38">
        <v>75</v>
      </c>
    </row>
    <row r="39" spans="1:11" x14ac:dyDescent="0.25">
      <c r="A39" s="3" t="s">
        <v>51</v>
      </c>
      <c r="B39" s="3" t="s">
        <v>32</v>
      </c>
      <c r="C39" s="3" t="s">
        <v>52</v>
      </c>
      <c r="D39" s="3" t="s">
        <v>52</v>
      </c>
      <c r="E39" s="3" t="s">
        <v>53</v>
      </c>
      <c r="F39" s="3" t="s">
        <v>339</v>
      </c>
      <c r="G39" s="3" t="s">
        <v>35</v>
      </c>
      <c r="H39" s="4" t="str">
        <f t="shared" si="11"/>
        <v>14.08.2022 20:30</v>
      </c>
      <c r="I39" s="5">
        <f t="shared" si="14"/>
        <v>44787.90625</v>
      </c>
      <c r="J39">
        <f t="shared" si="15"/>
        <v>5.2083333333333336E-2</v>
      </c>
      <c r="K39">
        <v>75</v>
      </c>
    </row>
    <row r="40" spans="1:11" x14ac:dyDescent="0.25">
      <c r="A40" s="3" t="s">
        <v>217</v>
      </c>
      <c r="B40" s="3" t="s">
        <v>32</v>
      </c>
      <c r="C40" s="3" t="s">
        <v>218</v>
      </c>
      <c r="D40" s="3" t="s">
        <v>218</v>
      </c>
      <c r="E40" s="3" t="s">
        <v>12</v>
      </c>
      <c r="F40" s="3" t="s">
        <v>339</v>
      </c>
      <c r="G40" s="3" t="s">
        <v>47</v>
      </c>
      <c r="H40" s="4" t="str">
        <f t="shared" si="11"/>
        <v>14.08.2022 20:30</v>
      </c>
      <c r="I40" s="5">
        <f t="shared" ref="I40:I45" si="16">H40+J40</f>
        <v>44787.90625</v>
      </c>
      <c r="J40">
        <f t="shared" ref="J40:J45" si="17">K40/60/24</f>
        <v>5.2083333333333336E-2</v>
      </c>
      <c r="K40">
        <v>75</v>
      </c>
    </row>
    <row r="41" spans="1:11" x14ac:dyDescent="0.25">
      <c r="A41" s="3" t="s">
        <v>230</v>
      </c>
      <c r="B41" s="3" t="s">
        <v>32</v>
      </c>
      <c r="C41" s="3" t="s">
        <v>231</v>
      </c>
      <c r="D41" s="3" t="s">
        <v>231</v>
      </c>
      <c r="E41" s="3" t="s">
        <v>232</v>
      </c>
      <c r="F41" s="3" t="s">
        <v>398</v>
      </c>
      <c r="G41" s="3" t="s">
        <v>47</v>
      </c>
      <c r="H41" s="4" t="str">
        <f t="shared" si="11"/>
        <v>15.08.2022 18:45</v>
      </c>
      <c r="I41" s="5">
        <f t="shared" si="16"/>
        <v>44788.822916666664</v>
      </c>
      <c r="J41">
        <f t="shared" si="17"/>
        <v>4.1666666666666664E-2</v>
      </c>
      <c r="K41">
        <v>60</v>
      </c>
    </row>
    <row r="42" spans="1:11" x14ac:dyDescent="0.25">
      <c r="A42" s="3" t="s">
        <v>118</v>
      </c>
      <c r="B42" s="3" t="s">
        <v>32</v>
      </c>
      <c r="C42" s="3" t="s">
        <v>119</v>
      </c>
      <c r="D42" s="3" t="s">
        <v>119</v>
      </c>
      <c r="E42" s="3" t="s">
        <v>120</v>
      </c>
      <c r="F42" s="3" t="s">
        <v>361</v>
      </c>
      <c r="G42" s="3" t="s">
        <v>43</v>
      </c>
      <c r="H42" s="4" t="str">
        <f t="shared" si="11"/>
        <v>15.08.2022 19:45</v>
      </c>
      <c r="I42" s="5">
        <f t="shared" si="16"/>
        <v>44788.854166666664</v>
      </c>
      <c r="J42">
        <f t="shared" si="17"/>
        <v>3.125E-2</v>
      </c>
      <c r="K42">
        <v>45</v>
      </c>
    </row>
    <row r="43" spans="1:11" x14ac:dyDescent="0.25">
      <c r="A43" s="3" t="s">
        <v>205</v>
      </c>
      <c r="B43" s="3" t="s">
        <v>32</v>
      </c>
      <c r="C43" s="3" t="s">
        <v>206</v>
      </c>
      <c r="D43" s="3" t="s">
        <v>206</v>
      </c>
      <c r="E43" s="3" t="s">
        <v>207</v>
      </c>
      <c r="F43" s="3" t="s">
        <v>361</v>
      </c>
      <c r="G43" s="3" t="s">
        <v>39</v>
      </c>
      <c r="H43" s="4" t="str">
        <f t="shared" si="11"/>
        <v>15.08.2022 19:45</v>
      </c>
      <c r="I43" s="5">
        <f t="shared" si="16"/>
        <v>44788.833333333328</v>
      </c>
      <c r="J43">
        <f t="shared" si="17"/>
        <v>1.0416666666666666E-2</v>
      </c>
      <c r="K43">
        <v>15</v>
      </c>
    </row>
    <row r="44" spans="1:11" x14ac:dyDescent="0.25">
      <c r="A44" s="3" t="s">
        <v>141</v>
      </c>
      <c r="B44" s="3" t="s">
        <v>32</v>
      </c>
      <c r="C44" s="3" t="s">
        <v>142</v>
      </c>
      <c r="D44" s="3" t="s">
        <v>142</v>
      </c>
      <c r="E44" s="3" t="s">
        <v>21</v>
      </c>
      <c r="F44" s="3" t="s">
        <v>369</v>
      </c>
      <c r="G44" s="3" t="s">
        <v>85</v>
      </c>
      <c r="H44" s="4" t="str">
        <f t="shared" si="11"/>
        <v>15.08.2022 20:15</v>
      </c>
      <c r="I44" s="5">
        <f t="shared" si="16"/>
        <v>44788.90625</v>
      </c>
      <c r="J44">
        <f t="shared" si="17"/>
        <v>6.25E-2</v>
      </c>
      <c r="K44">
        <v>90</v>
      </c>
    </row>
    <row r="45" spans="1:11" x14ac:dyDescent="0.25">
      <c r="A45" s="3" t="s">
        <v>121</v>
      </c>
      <c r="B45" s="3" t="s">
        <v>32</v>
      </c>
      <c r="C45" s="3" t="s">
        <v>122</v>
      </c>
      <c r="D45" s="3" t="s">
        <v>122</v>
      </c>
      <c r="E45" s="3" t="s">
        <v>17</v>
      </c>
      <c r="F45" s="3" t="s">
        <v>362</v>
      </c>
      <c r="G45" s="3" t="s">
        <v>35</v>
      </c>
      <c r="H45" s="4" t="str">
        <f t="shared" si="11"/>
        <v>15.08.2022 20:30</v>
      </c>
      <c r="I45" s="5">
        <f t="shared" si="16"/>
        <v>44788.90625</v>
      </c>
      <c r="J45">
        <f t="shared" si="17"/>
        <v>5.2083333333333336E-2</v>
      </c>
      <c r="K45">
        <v>75</v>
      </c>
    </row>
    <row r="46" spans="1:11" x14ac:dyDescent="0.25">
      <c r="A46" s="3" t="s">
        <v>248</v>
      </c>
      <c r="B46" s="3" t="s">
        <v>32</v>
      </c>
      <c r="C46" s="3" t="s">
        <v>249</v>
      </c>
      <c r="D46" s="3" t="s">
        <v>249</v>
      </c>
      <c r="E46" s="3" t="s">
        <v>250</v>
      </c>
      <c r="F46" s="3" t="s">
        <v>362</v>
      </c>
      <c r="G46" s="3" t="s">
        <v>47</v>
      </c>
      <c r="H46" s="4" t="str">
        <f t="shared" si="11"/>
        <v>15.08.2022 20:30</v>
      </c>
      <c r="I46" s="5">
        <f>H46+J46</f>
        <v>44788.895833333328</v>
      </c>
      <c r="J46">
        <f>K46/60/24</f>
        <v>4.1666666666666664E-2</v>
      </c>
      <c r="K46">
        <v>60</v>
      </c>
    </row>
    <row r="47" spans="1:11" x14ac:dyDescent="0.25">
      <c r="A47" s="3" t="s">
        <v>227</v>
      </c>
      <c r="B47" s="3" t="s">
        <v>32</v>
      </c>
      <c r="C47" s="3" t="s">
        <v>228</v>
      </c>
      <c r="D47" s="3" t="s">
        <v>228</v>
      </c>
      <c r="E47" s="3" t="s">
        <v>229</v>
      </c>
      <c r="F47" s="3" t="s">
        <v>397</v>
      </c>
      <c r="G47" s="3" t="s">
        <v>81</v>
      </c>
      <c r="H47" s="4" t="str">
        <f t="shared" si="11"/>
        <v>16.08.2022 11:45</v>
      </c>
      <c r="I47" s="5">
        <f>H47+J47</f>
        <v>44789.53125</v>
      </c>
      <c r="J47">
        <f>K47/60/24</f>
        <v>4.1666666666666664E-2</v>
      </c>
      <c r="K47">
        <v>60</v>
      </c>
    </row>
    <row r="48" spans="1:11" x14ac:dyDescent="0.25">
      <c r="A48" s="3" t="s">
        <v>154</v>
      </c>
      <c r="B48" s="3" t="s">
        <v>32</v>
      </c>
      <c r="C48" s="3" t="s">
        <v>155</v>
      </c>
      <c r="D48" s="3" t="s">
        <v>155</v>
      </c>
      <c r="E48" s="3" t="s">
        <v>156</v>
      </c>
      <c r="F48" s="3" t="s">
        <v>374</v>
      </c>
      <c r="G48" s="3" t="s">
        <v>47</v>
      </c>
      <c r="H48" s="4" t="str">
        <f t="shared" si="11"/>
        <v>16.08.2022 18:45</v>
      </c>
      <c r="I48" s="5">
        <f>H48+J48</f>
        <v>44789.8125</v>
      </c>
      <c r="J48">
        <f>K48/60/24</f>
        <v>3.125E-2</v>
      </c>
      <c r="K48">
        <v>45</v>
      </c>
    </row>
    <row r="49" spans="1:11" x14ac:dyDescent="0.25">
      <c r="A49" s="3" t="s">
        <v>242</v>
      </c>
      <c r="B49" s="3" t="s">
        <v>32</v>
      </c>
      <c r="C49" s="3" t="s">
        <v>243</v>
      </c>
      <c r="D49" s="3" t="s">
        <v>243</v>
      </c>
      <c r="E49" s="3" t="s">
        <v>244</v>
      </c>
      <c r="F49" s="3" t="s">
        <v>402</v>
      </c>
      <c r="G49" s="3" t="s">
        <v>35</v>
      </c>
      <c r="H49" s="4" t="str">
        <f t="shared" si="11"/>
        <v>16.08.2022 19:15</v>
      </c>
      <c r="I49" s="5">
        <f t="shared" ref="I49:I52" si="18">H49+J49</f>
        <v>44789.833333333336</v>
      </c>
      <c r="J49">
        <f t="shared" ref="J49:J52" si="19">K49/60/24</f>
        <v>3.125E-2</v>
      </c>
      <c r="K49">
        <v>45</v>
      </c>
    </row>
    <row r="50" spans="1:11" x14ac:dyDescent="0.25">
      <c r="A50" s="3" t="s">
        <v>103</v>
      </c>
      <c r="B50" s="3" t="s">
        <v>32</v>
      </c>
      <c r="C50" s="3" t="s">
        <v>104</v>
      </c>
      <c r="D50" s="3" t="s">
        <v>104</v>
      </c>
      <c r="E50" s="3" t="s">
        <v>105</v>
      </c>
      <c r="F50" s="3" t="s">
        <v>356</v>
      </c>
      <c r="G50" s="3" t="s">
        <v>39</v>
      </c>
      <c r="H50" s="4" t="str">
        <f t="shared" si="11"/>
        <v>16.08.2022 19:30</v>
      </c>
      <c r="I50" s="5">
        <f t="shared" si="18"/>
        <v>44789.822916666664</v>
      </c>
      <c r="J50">
        <f t="shared" si="19"/>
        <v>1.0416666666666666E-2</v>
      </c>
      <c r="K50">
        <v>15</v>
      </c>
    </row>
    <row r="51" spans="1:11" x14ac:dyDescent="0.25">
      <c r="A51" s="3" t="s">
        <v>40</v>
      </c>
      <c r="B51" s="3" t="s">
        <v>32</v>
      </c>
      <c r="C51" s="3" t="s">
        <v>41</v>
      </c>
      <c r="D51" s="3" t="s">
        <v>41</v>
      </c>
      <c r="E51" s="3" t="s">
        <v>42</v>
      </c>
      <c r="F51" s="3" t="s">
        <v>336</v>
      </c>
      <c r="G51" s="3" t="s">
        <v>43</v>
      </c>
      <c r="H51" s="4" t="str">
        <f t="shared" si="11"/>
        <v>16.08.2022 19:45</v>
      </c>
      <c r="I51" s="5">
        <f t="shared" si="18"/>
        <v>44789.854166666664</v>
      </c>
      <c r="J51">
        <f t="shared" si="19"/>
        <v>3.125E-2</v>
      </c>
      <c r="K51">
        <v>45</v>
      </c>
    </row>
    <row r="52" spans="1:11" x14ac:dyDescent="0.25">
      <c r="A52" s="3" t="s">
        <v>31</v>
      </c>
      <c r="B52" s="3" t="s">
        <v>32</v>
      </c>
      <c r="C52" s="3" t="s">
        <v>33</v>
      </c>
      <c r="D52" s="3" t="s">
        <v>33</v>
      </c>
      <c r="E52" s="3" t="s">
        <v>34</v>
      </c>
      <c r="F52" s="3" t="s">
        <v>334</v>
      </c>
      <c r="G52" s="3" t="s">
        <v>35</v>
      </c>
      <c r="H52" s="4" t="str">
        <f t="shared" si="11"/>
        <v>16.08.2022 20:15</v>
      </c>
      <c r="I52" s="5">
        <f t="shared" si="18"/>
        <v>44789.90625</v>
      </c>
      <c r="J52">
        <f t="shared" si="19"/>
        <v>6.25E-2</v>
      </c>
      <c r="K52">
        <v>90</v>
      </c>
    </row>
    <row r="53" spans="1:11" x14ac:dyDescent="0.25">
      <c r="A53" s="3" t="s">
        <v>245</v>
      </c>
      <c r="B53" s="3" t="s">
        <v>32</v>
      </c>
      <c r="C53" s="3" t="s">
        <v>246</v>
      </c>
      <c r="D53" s="3" t="s">
        <v>246</v>
      </c>
      <c r="E53" s="3" t="s">
        <v>247</v>
      </c>
      <c r="F53" s="3" t="s">
        <v>334</v>
      </c>
      <c r="G53" s="3" t="s">
        <v>47</v>
      </c>
      <c r="H53" s="4" t="str">
        <f t="shared" si="11"/>
        <v>16.08.2022 20:15</v>
      </c>
      <c r="I53" s="5">
        <f>H53+J53</f>
        <v>44789.895833333336</v>
      </c>
      <c r="J53">
        <f>K53/60/24</f>
        <v>5.2083333333333336E-2</v>
      </c>
      <c r="K53">
        <v>75</v>
      </c>
    </row>
    <row r="54" spans="1:11" x14ac:dyDescent="0.25">
      <c r="A54" s="3" t="s">
        <v>257</v>
      </c>
      <c r="B54" s="3" t="s">
        <v>32</v>
      </c>
      <c r="C54" s="3" t="s">
        <v>258</v>
      </c>
      <c r="D54" s="3" t="s">
        <v>258</v>
      </c>
      <c r="E54" s="3" t="s">
        <v>259</v>
      </c>
      <c r="F54" s="3" t="s">
        <v>334</v>
      </c>
      <c r="G54" s="3" t="s">
        <v>85</v>
      </c>
      <c r="H54" s="4" t="str">
        <f t="shared" si="11"/>
        <v>16.08.2022 20:15</v>
      </c>
      <c r="I54" s="5">
        <f t="shared" ref="I54:I55" si="20">H54+J54</f>
        <v>44789.885416666664</v>
      </c>
      <c r="J54">
        <f t="shared" ref="J54:J55" si="21">K54/60/24</f>
        <v>4.1666666666666664E-2</v>
      </c>
      <c r="K54">
        <v>60</v>
      </c>
    </row>
    <row r="55" spans="1:11" x14ac:dyDescent="0.25">
      <c r="A55" s="3" t="s">
        <v>176</v>
      </c>
      <c r="B55" s="3" t="s">
        <v>32</v>
      </c>
      <c r="C55" s="3" t="s">
        <v>177</v>
      </c>
      <c r="D55" s="3" t="s">
        <v>177</v>
      </c>
      <c r="E55" s="3" t="s">
        <v>178</v>
      </c>
      <c r="F55" s="3" t="s">
        <v>381</v>
      </c>
      <c r="G55" s="3" t="s">
        <v>81</v>
      </c>
      <c r="H55" s="4" t="str">
        <f t="shared" si="11"/>
        <v>17.08.2022 11:45</v>
      </c>
      <c r="I55" s="5">
        <f t="shared" si="20"/>
        <v>44790.53125</v>
      </c>
      <c r="J55">
        <f t="shared" si="21"/>
        <v>4.1666666666666664E-2</v>
      </c>
      <c r="K55">
        <v>60</v>
      </c>
    </row>
    <row r="56" spans="1:11" x14ac:dyDescent="0.25">
      <c r="A56" s="3" t="s">
        <v>109</v>
      </c>
      <c r="B56" s="3" t="s">
        <v>32</v>
      </c>
      <c r="C56" s="3" t="s">
        <v>110</v>
      </c>
      <c r="D56" s="3" t="s">
        <v>110</v>
      </c>
      <c r="E56" s="3" t="s">
        <v>111</v>
      </c>
      <c r="F56" s="3" t="s">
        <v>358</v>
      </c>
      <c r="G56" s="3" t="s">
        <v>47</v>
      </c>
      <c r="H56" s="4" t="str">
        <f t="shared" si="11"/>
        <v>17.08.2022 15:00</v>
      </c>
      <c r="I56" s="5">
        <f t="shared" ref="I56:I59" si="22">H56+J56</f>
        <v>44790.666666666664</v>
      </c>
      <c r="J56">
        <f t="shared" ref="J56:J59" si="23">K56/60/24</f>
        <v>4.1666666666666664E-2</v>
      </c>
      <c r="K56">
        <v>60</v>
      </c>
    </row>
    <row r="57" spans="1:11" x14ac:dyDescent="0.25">
      <c r="A57" s="3" t="s">
        <v>152</v>
      </c>
      <c r="B57" s="3" t="s">
        <v>32</v>
      </c>
      <c r="C57" s="3" t="s">
        <v>153</v>
      </c>
      <c r="D57" s="3" t="s">
        <v>153</v>
      </c>
      <c r="E57" s="3" t="s">
        <v>14</v>
      </c>
      <c r="F57" s="3" t="s">
        <v>373</v>
      </c>
      <c r="G57" s="3" t="s">
        <v>47</v>
      </c>
      <c r="H57" s="4" t="str">
        <f t="shared" si="11"/>
        <v>17.08.2022 18:45</v>
      </c>
      <c r="I57" s="5">
        <f t="shared" si="22"/>
        <v>44790.8125</v>
      </c>
      <c r="J57">
        <f t="shared" si="23"/>
        <v>3.125E-2</v>
      </c>
      <c r="K57">
        <v>45</v>
      </c>
    </row>
    <row r="58" spans="1:11" x14ac:dyDescent="0.25">
      <c r="A58" s="3" t="s">
        <v>101</v>
      </c>
      <c r="B58" s="3" t="s">
        <v>32</v>
      </c>
      <c r="C58" s="3" t="s">
        <v>102</v>
      </c>
      <c r="D58" s="3" t="s">
        <v>102</v>
      </c>
      <c r="E58" s="3" t="s">
        <v>23</v>
      </c>
      <c r="F58" s="3" t="s">
        <v>355</v>
      </c>
      <c r="G58" s="3" t="s">
        <v>39</v>
      </c>
      <c r="H58" s="4" t="str">
        <f t="shared" si="11"/>
        <v>17.08.2022 19:30</v>
      </c>
      <c r="I58" s="5">
        <f t="shared" si="22"/>
        <v>44790.822916666664</v>
      </c>
      <c r="J58">
        <f t="shared" si="23"/>
        <v>1.0416666666666666E-2</v>
      </c>
      <c r="K58">
        <v>15</v>
      </c>
    </row>
    <row r="59" spans="1:11" x14ac:dyDescent="0.25">
      <c r="A59" s="3" t="s">
        <v>191</v>
      </c>
      <c r="B59" s="3" t="s">
        <v>32</v>
      </c>
      <c r="C59" s="3" t="s">
        <v>192</v>
      </c>
      <c r="D59" s="3" t="s">
        <v>192</v>
      </c>
      <c r="E59" s="3" t="s">
        <v>193</v>
      </c>
      <c r="F59" s="3" t="s">
        <v>386</v>
      </c>
      <c r="G59" s="3" t="s">
        <v>43</v>
      </c>
      <c r="H59" s="4" t="str">
        <f t="shared" si="11"/>
        <v>17.08.2022 19:45</v>
      </c>
      <c r="I59" s="5">
        <f t="shared" si="22"/>
        <v>44790.854166666664</v>
      </c>
      <c r="J59">
        <f t="shared" si="23"/>
        <v>3.125E-2</v>
      </c>
      <c r="K59">
        <v>45</v>
      </c>
    </row>
    <row r="60" spans="1:11" x14ac:dyDescent="0.25">
      <c r="A60" s="3" t="s">
        <v>123</v>
      </c>
      <c r="B60" s="3" t="s">
        <v>32</v>
      </c>
      <c r="C60" s="3" t="s">
        <v>124</v>
      </c>
      <c r="D60" s="3" t="s">
        <v>124</v>
      </c>
      <c r="E60" s="3" t="s">
        <v>125</v>
      </c>
      <c r="F60" s="3" t="s">
        <v>363</v>
      </c>
      <c r="G60" s="3" t="s">
        <v>47</v>
      </c>
      <c r="H60" s="4" t="str">
        <f t="shared" si="11"/>
        <v>17.08.2022 20:15</v>
      </c>
      <c r="I60" s="5">
        <f>H60+J60</f>
        <v>44790.90625</v>
      </c>
      <c r="J60">
        <f>K60/60/24</f>
        <v>6.25E-2</v>
      </c>
      <c r="K60">
        <v>90</v>
      </c>
    </row>
    <row r="61" spans="1:11" x14ac:dyDescent="0.25">
      <c r="A61" s="3" t="s">
        <v>254</v>
      </c>
      <c r="B61" s="3" t="s">
        <v>32</v>
      </c>
      <c r="C61" s="3" t="s">
        <v>255</v>
      </c>
      <c r="D61" s="3" t="s">
        <v>255</v>
      </c>
      <c r="E61" s="3" t="s">
        <v>256</v>
      </c>
      <c r="F61" s="3" t="s">
        <v>363</v>
      </c>
      <c r="G61" s="3" t="s">
        <v>85</v>
      </c>
      <c r="H61" s="4" t="str">
        <f t="shared" si="11"/>
        <v>17.08.2022 20:15</v>
      </c>
      <c r="I61" s="5">
        <f t="shared" ref="I61:I64" si="24">H61+J61</f>
        <v>44790.895833333336</v>
      </c>
      <c r="J61">
        <f t="shared" ref="J61:J64" si="25">K61/60/24</f>
        <v>5.2083333333333336E-2</v>
      </c>
      <c r="K61">
        <v>75</v>
      </c>
    </row>
    <row r="62" spans="1:11" x14ac:dyDescent="0.25">
      <c r="A62" s="3"/>
      <c r="B62" s="3"/>
      <c r="C62" s="3" t="s">
        <v>412</v>
      </c>
      <c r="D62" s="3"/>
      <c r="E62" s="3"/>
      <c r="F62" s="3" t="s">
        <v>415</v>
      </c>
      <c r="G62" s="3" t="s">
        <v>35</v>
      </c>
      <c r="H62" s="4" t="str">
        <f t="shared" si="11"/>
        <v>17.08.2022 14:00</v>
      </c>
      <c r="I62" s="5">
        <f>H62+J62</f>
        <v>44790.708333333336</v>
      </c>
      <c r="J62">
        <f>K62/60/24</f>
        <v>0.125</v>
      </c>
      <c r="K62">
        <v>180</v>
      </c>
    </row>
    <row r="63" spans="1:11" x14ac:dyDescent="0.25">
      <c r="A63" s="3" t="s">
        <v>239</v>
      </c>
      <c r="B63" s="3" t="s">
        <v>32</v>
      </c>
      <c r="C63" s="3" t="s">
        <v>240</v>
      </c>
      <c r="D63" s="3" t="s">
        <v>240</v>
      </c>
      <c r="E63" s="3" t="s">
        <v>241</v>
      </c>
      <c r="F63" s="3" t="s">
        <v>401</v>
      </c>
      <c r="G63" s="3" t="s">
        <v>35</v>
      </c>
      <c r="H63" s="4" t="str">
        <f t="shared" si="11"/>
        <v>17.08.2022 20:30</v>
      </c>
      <c r="I63" s="5">
        <f t="shared" si="24"/>
        <v>44790.90625</v>
      </c>
      <c r="J63">
        <f t="shared" si="25"/>
        <v>5.2083333333333336E-2</v>
      </c>
      <c r="K63">
        <v>75</v>
      </c>
    </row>
    <row r="64" spans="1:11" x14ac:dyDescent="0.25">
      <c r="A64" s="3" t="s">
        <v>78</v>
      </c>
      <c r="B64" s="3" t="s">
        <v>32</v>
      </c>
      <c r="C64" s="3" t="s">
        <v>79</v>
      </c>
      <c r="D64" s="3" t="s">
        <v>79</v>
      </c>
      <c r="E64" s="3" t="s">
        <v>80</v>
      </c>
      <c r="F64" s="3" t="s">
        <v>348</v>
      </c>
      <c r="G64" s="3" t="s">
        <v>81</v>
      </c>
      <c r="H64" s="4" t="str">
        <f t="shared" si="11"/>
        <v>18.08.2022 11:45</v>
      </c>
      <c r="I64" s="5">
        <f t="shared" si="24"/>
        <v>44791.53125</v>
      </c>
      <c r="J64">
        <f t="shared" si="25"/>
        <v>4.1666666666666664E-2</v>
      </c>
      <c r="K64">
        <v>60</v>
      </c>
    </row>
    <row r="65" spans="1:11" x14ac:dyDescent="0.25">
      <c r="A65" s="3" t="s">
        <v>182</v>
      </c>
      <c r="B65" s="3" t="s">
        <v>32</v>
      </c>
      <c r="C65" s="3" t="s">
        <v>183</v>
      </c>
      <c r="D65" s="3" t="s">
        <v>183</v>
      </c>
      <c r="E65" s="3" t="s">
        <v>184</v>
      </c>
      <c r="F65" s="3" t="s">
        <v>383</v>
      </c>
      <c r="G65" s="3" t="s">
        <v>47</v>
      </c>
      <c r="H65" s="4" t="str">
        <f t="shared" si="11"/>
        <v>18.08.2022 18:30</v>
      </c>
      <c r="I65" s="5">
        <f>H65+J65</f>
        <v>44791.802083333336</v>
      </c>
      <c r="J65">
        <f>K65/60/24</f>
        <v>3.125E-2</v>
      </c>
      <c r="K65">
        <v>45</v>
      </c>
    </row>
    <row r="66" spans="1:11" x14ac:dyDescent="0.25">
      <c r="A66" s="3" t="s">
        <v>36</v>
      </c>
      <c r="B66" s="3" t="s">
        <v>32</v>
      </c>
      <c r="C66" s="3" t="s">
        <v>37</v>
      </c>
      <c r="D66" s="3" t="s">
        <v>37</v>
      </c>
      <c r="E66" s="3" t="s">
        <v>38</v>
      </c>
      <c r="F66" s="3" t="s">
        <v>335</v>
      </c>
      <c r="G66" s="3" t="s">
        <v>39</v>
      </c>
      <c r="H66" s="4" t="str">
        <f t="shared" ref="H66:H84" si="26">RIGHT(F66,16)</f>
        <v>18.08.2022 19:15</v>
      </c>
      <c r="I66" s="5">
        <f>H66+J66</f>
        <v>44791.8125</v>
      </c>
      <c r="J66">
        <f>K66/60/24</f>
        <v>1.0416666666666666E-2</v>
      </c>
      <c r="K66">
        <v>15</v>
      </c>
    </row>
    <row r="67" spans="1:11" x14ac:dyDescent="0.25">
      <c r="A67" s="3" t="s">
        <v>115</v>
      </c>
      <c r="B67" s="3" t="s">
        <v>32</v>
      </c>
      <c r="C67" s="3" t="s">
        <v>116</v>
      </c>
      <c r="D67" s="3" t="s">
        <v>116</v>
      </c>
      <c r="E67" s="3" t="s">
        <v>117</v>
      </c>
      <c r="F67" s="3" t="s">
        <v>360</v>
      </c>
      <c r="G67" s="3" t="s">
        <v>47</v>
      </c>
      <c r="H67" s="4" t="str">
        <f t="shared" si="26"/>
        <v>18.08.2022 20:00</v>
      </c>
      <c r="I67" s="5">
        <f>H67+J67</f>
        <v>44791.875</v>
      </c>
      <c r="J67">
        <f>K67/60/24</f>
        <v>4.1666666666666664E-2</v>
      </c>
      <c r="K67">
        <v>60</v>
      </c>
    </row>
    <row r="68" spans="1:11" x14ac:dyDescent="0.25">
      <c r="A68" s="3" t="s">
        <v>132</v>
      </c>
      <c r="B68" s="3" t="s">
        <v>32</v>
      </c>
      <c r="C68" s="3" t="s">
        <v>133</v>
      </c>
      <c r="D68" s="3" t="s">
        <v>133</v>
      </c>
      <c r="E68" s="3" t="s">
        <v>134</v>
      </c>
      <c r="F68" s="3" t="s">
        <v>366</v>
      </c>
      <c r="G68" s="3" t="s">
        <v>85</v>
      </c>
      <c r="H68" s="4" t="str">
        <f t="shared" si="26"/>
        <v>18.08.2022 20:15</v>
      </c>
      <c r="I68" s="5">
        <f t="shared" ref="I68:I69" si="27">H68+J68</f>
        <v>44791.895833333336</v>
      </c>
      <c r="J68">
        <f t="shared" ref="J68:J69" si="28">K68/60/24</f>
        <v>5.2083333333333336E-2</v>
      </c>
      <c r="K68">
        <v>75</v>
      </c>
    </row>
    <row r="69" spans="1:11" x14ac:dyDescent="0.25">
      <c r="A69" s="3" t="s">
        <v>54</v>
      </c>
      <c r="B69" s="3" t="s">
        <v>32</v>
      </c>
      <c r="C69" s="3" t="s">
        <v>55</v>
      </c>
      <c r="D69" s="3" t="s">
        <v>55</v>
      </c>
      <c r="E69" s="3" t="s">
        <v>56</v>
      </c>
      <c r="F69" s="3" t="s">
        <v>340</v>
      </c>
      <c r="G69" s="3" t="s">
        <v>35</v>
      </c>
      <c r="H69" s="4" t="str">
        <f t="shared" si="26"/>
        <v>18.08.2022 20:30</v>
      </c>
      <c r="I69" s="5">
        <f t="shared" si="27"/>
        <v>44791.905555555553</v>
      </c>
      <c r="J69">
        <f t="shared" si="28"/>
        <v>5.1388888888888894E-2</v>
      </c>
      <c r="K69">
        <v>74</v>
      </c>
    </row>
    <row r="70" spans="1:11" x14ac:dyDescent="0.25">
      <c r="A70" s="3" t="s">
        <v>95</v>
      </c>
      <c r="B70" s="3" t="s">
        <v>32</v>
      </c>
      <c r="C70" s="3" t="s">
        <v>96</v>
      </c>
      <c r="D70" s="3" t="s">
        <v>96</v>
      </c>
      <c r="E70" s="3" t="s">
        <v>97</v>
      </c>
      <c r="F70" s="3" t="s">
        <v>353</v>
      </c>
      <c r="G70" s="3" t="s">
        <v>47</v>
      </c>
      <c r="H70" s="4" t="str">
        <f t="shared" si="26"/>
        <v>18.08.2022 21:30</v>
      </c>
      <c r="I70" s="5">
        <f>H70+J70</f>
        <v>44791.947916666672</v>
      </c>
      <c r="J70">
        <f>K70/60/24</f>
        <v>5.2083333333333336E-2</v>
      </c>
      <c r="K70">
        <v>75</v>
      </c>
    </row>
    <row r="71" spans="1:11" x14ac:dyDescent="0.25">
      <c r="A71" s="3" t="s">
        <v>224</v>
      </c>
      <c r="B71" s="3" t="s">
        <v>32</v>
      </c>
      <c r="C71" s="3" t="s">
        <v>225</v>
      </c>
      <c r="D71" s="3" t="s">
        <v>225</v>
      </c>
      <c r="E71" s="3" t="s">
        <v>226</v>
      </c>
      <c r="F71" s="3" t="s">
        <v>396</v>
      </c>
      <c r="G71" s="3" t="s">
        <v>85</v>
      </c>
      <c r="H71" s="4" t="str">
        <f t="shared" si="26"/>
        <v>19.08.2022 20:15</v>
      </c>
      <c r="I71" s="5">
        <f>H71+J71</f>
        <v>44792.90625</v>
      </c>
      <c r="J71">
        <f>K71/60/24</f>
        <v>6.25E-2</v>
      </c>
      <c r="K71">
        <v>90</v>
      </c>
    </row>
    <row r="72" spans="1:11" x14ac:dyDescent="0.25">
      <c r="A72" s="3"/>
      <c r="B72" s="3"/>
      <c r="C72" s="3" t="s">
        <v>407</v>
      </c>
      <c r="D72" s="3"/>
      <c r="E72" s="6" t="s">
        <v>409</v>
      </c>
      <c r="F72" s="3" t="s">
        <v>408</v>
      </c>
      <c r="G72" s="3" t="s">
        <v>47</v>
      </c>
      <c r="H72" s="4" t="str">
        <f t="shared" si="26"/>
        <v>18.08.2022 19:30</v>
      </c>
      <c r="I72" s="5">
        <f>H72+J72</f>
        <v>44791.840277777781</v>
      </c>
      <c r="J72">
        <f>K72/60/24</f>
        <v>2.7777777777777776E-2</v>
      </c>
      <c r="K72">
        <v>40</v>
      </c>
    </row>
    <row r="73" spans="1:11" x14ac:dyDescent="0.25">
      <c r="A73" s="3" t="s">
        <v>160</v>
      </c>
      <c r="B73" s="3" t="s">
        <v>32</v>
      </c>
      <c r="C73" s="3" t="s">
        <v>161</v>
      </c>
      <c r="D73" s="3" t="s">
        <v>161</v>
      </c>
      <c r="E73" s="3" t="s">
        <v>162</v>
      </c>
      <c r="F73" s="3" t="s">
        <v>376</v>
      </c>
      <c r="G73" s="3" t="s">
        <v>47</v>
      </c>
      <c r="H73" s="4" t="str">
        <f t="shared" si="26"/>
        <v>19.08.2022 20:40</v>
      </c>
      <c r="I73" s="5">
        <f t="shared" ref="I73:I74" si="29">H73+J73</f>
        <v>44792.913194444445</v>
      </c>
      <c r="J73">
        <f t="shared" ref="J73:J74" si="30">K73/60/24</f>
        <v>5.2083333333333336E-2</v>
      </c>
      <c r="K73">
        <v>75</v>
      </c>
    </row>
    <row r="74" spans="1:11" x14ac:dyDescent="0.25">
      <c r="A74" s="3" t="s">
        <v>236</v>
      </c>
      <c r="B74" s="3" t="s">
        <v>32</v>
      </c>
      <c r="C74" s="3" t="s">
        <v>237</v>
      </c>
      <c r="D74" s="3" t="s">
        <v>237</v>
      </c>
      <c r="E74" s="3" t="s">
        <v>238</v>
      </c>
      <c r="F74" s="3" t="s">
        <v>400</v>
      </c>
      <c r="G74" s="3" t="s">
        <v>47</v>
      </c>
      <c r="H74" s="4" t="str">
        <f t="shared" si="26"/>
        <v>19.08.2022 22:30</v>
      </c>
      <c r="I74" s="5">
        <f t="shared" si="29"/>
        <v>44793</v>
      </c>
      <c r="J74">
        <f t="shared" si="30"/>
        <v>6.25E-2</v>
      </c>
      <c r="K74">
        <v>90</v>
      </c>
    </row>
    <row r="75" spans="1:11" x14ac:dyDescent="0.25">
      <c r="A75" s="3" t="s">
        <v>188</v>
      </c>
      <c r="B75" s="3" t="s">
        <v>32</v>
      </c>
      <c r="C75" s="3" t="s">
        <v>189</v>
      </c>
      <c r="D75" s="3" t="s">
        <v>189</v>
      </c>
      <c r="E75" s="3" t="s">
        <v>190</v>
      </c>
      <c r="F75" s="3" t="s">
        <v>385</v>
      </c>
      <c r="G75" s="3" t="s">
        <v>85</v>
      </c>
      <c r="H75" s="4" t="str">
        <f t="shared" si="26"/>
        <v>20.08.2022 14:00</v>
      </c>
      <c r="I75" s="5">
        <f>H75+J75</f>
        <v>44793.618055555555</v>
      </c>
      <c r="J75">
        <f>K75/60/24</f>
        <v>3.4722222222222224E-2</v>
      </c>
      <c r="K75">
        <v>50</v>
      </c>
    </row>
    <row r="76" spans="1:11" x14ac:dyDescent="0.25">
      <c r="A76" s="3" t="s">
        <v>202</v>
      </c>
      <c r="B76" s="3" t="s">
        <v>32</v>
      </c>
      <c r="C76" s="3" t="s">
        <v>203</v>
      </c>
      <c r="D76" s="3" t="s">
        <v>203</v>
      </c>
      <c r="E76" s="3" t="s">
        <v>204</v>
      </c>
      <c r="F76" s="3" t="s">
        <v>390</v>
      </c>
      <c r="G76" s="3" t="s">
        <v>47</v>
      </c>
      <c r="H76" s="4" t="str">
        <f t="shared" si="26"/>
        <v>20.08.2022 18:45</v>
      </c>
      <c r="I76" s="5">
        <f t="shared" ref="I76:I77" si="31">H76+J76</f>
        <v>44793.8125</v>
      </c>
      <c r="J76">
        <f t="shared" ref="J76:J77" si="32">K76/60/24</f>
        <v>3.125E-2</v>
      </c>
      <c r="K76">
        <v>45</v>
      </c>
    </row>
    <row r="77" spans="1:11" x14ac:dyDescent="0.25">
      <c r="A77" s="3" t="s">
        <v>221</v>
      </c>
      <c r="B77" s="3" t="s">
        <v>32</v>
      </c>
      <c r="C77" s="3" t="s">
        <v>222</v>
      </c>
      <c r="D77" s="3" t="s">
        <v>222</v>
      </c>
      <c r="E77" s="3" t="s">
        <v>223</v>
      </c>
      <c r="F77" s="3" t="s">
        <v>395</v>
      </c>
      <c r="G77" s="3" t="s">
        <v>47</v>
      </c>
      <c r="H77" s="4" t="str">
        <f t="shared" si="26"/>
        <v>20.08.2022 20:00</v>
      </c>
      <c r="I77" s="5">
        <f t="shared" si="31"/>
        <v>44793.885416666672</v>
      </c>
      <c r="J77">
        <f t="shared" si="32"/>
        <v>5.2083333333333336E-2</v>
      </c>
      <c r="K77">
        <v>75</v>
      </c>
    </row>
    <row r="78" spans="1:11" x14ac:dyDescent="0.25">
      <c r="A78" s="3" t="s">
        <v>146</v>
      </c>
      <c r="B78" s="3" t="s">
        <v>32</v>
      </c>
      <c r="C78" s="3" t="s">
        <v>147</v>
      </c>
      <c r="D78" s="3" t="s">
        <v>147</v>
      </c>
      <c r="E78" s="3" t="s">
        <v>148</v>
      </c>
      <c r="F78" s="3" t="s">
        <v>371</v>
      </c>
      <c r="G78" s="3" t="s">
        <v>85</v>
      </c>
      <c r="H78" s="4" t="str">
        <f t="shared" si="26"/>
        <v>20.08.2022 20:15</v>
      </c>
      <c r="I78" s="5">
        <f>H78+J78</f>
        <v>44793.895833333336</v>
      </c>
      <c r="J78">
        <f>K78/60/24</f>
        <v>5.2083333333333336E-2</v>
      </c>
      <c r="K78">
        <v>75</v>
      </c>
    </row>
    <row r="79" spans="1:11" x14ac:dyDescent="0.25">
      <c r="A79" s="3" t="s">
        <v>66</v>
      </c>
      <c r="B79" s="3" t="s">
        <v>32</v>
      </c>
      <c r="C79" s="3" t="s">
        <v>67</v>
      </c>
      <c r="D79" s="3" t="s">
        <v>67</v>
      </c>
      <c r="E79" s="3" t="s">
        <v>68</v>
      </c>
      <c r="F79" s="3" t="s">
        <v>344</v>
      </c>
      <c r="G79" s="3" t="s">
        <v>47</v>
      </c>
      <c r="H79" s="4" t="str">
        <f t="shared" si="26"/>
        <v>20.08.2022 22:00</v>
      </c>
      <c r="I79" s="5">
        <f>H79+J79</f>
        <v>44793.979166666664</v>
      </c>
      <c r="J79">
        <f>K79/60/24</f>
        <v>6.25E-2</v>
      </c>
      <c r="K79">
        <v>90</v>
      </c>
    </row>
    <row r="80" spans="1:11" x14ac:dyDescent="0.25">
      <c r="A80" s="3" t="s">
        <v>86</v>
      </c>
      <c r="B80" s="3" t="s">
        <v>32</v>
      </c>
      <c r="C80" s="3" t="s">
        <v>87</v>
      </c>
      <c r="D80" s="3" t="s">
        <v>87</v>
      </c>
      <c r="E80" s="3" t="s">
        <v>88</v>
      </c>
      <c r="F80" s="3" t="s">
        <v>350</v>
      </c>
      <c r="G80" s="3" t="s">
        <v>85</v>
      </c>
      <c r="H80" s="4" t="str">
        <f t="shared" si="26"/>
        <v>21.08.2022 14:00</v>
      </c>
      <c r="I80" s="5">
        <f>H80+J80</f>
        <v>44794.625</v>
      </c>
      <c r="J80">
        <f>K80/60/24</f>
        <v>4.1666666666666664E-2</v>
      </c>
      <c r="K80">
        <v>60</v>
      </c>
    </row>
    <row r="81" spans="1:11" x14ac:dyDescent="0.25">
      <c r="A81" s="3" t="s">
        <v>98</v>
      </c>
      <c r="B81" s="3" t="s">
        <v>32</v>
      </c>
      <c r="C81" s="3" t="s">
        <v>99</v>
      </c>
      <c r="D81" s="3" t="s">
        <v>99</v>
      </c>
      <c r="E81" s="3" t="s">
        <v>100</v>
      </c>
      <c r="F81" s="3" t="s">
        <v>354</v>
      </c>
      <c r="G81" s="3" t="s">
        <v>47</v>
      </c>
      <c r="H81" s="4" t="str">
        <f t="shared" si="26"/>
        <v>21.08.2022 16:45</v>
      </c>
      <c r="I81" s="5">
        <f t="shared" ref="I81:I83" si="33">H81+J81</f>
        <v>44794.729166666664</v>
      </c>
      <c r="J81">
        <f t="shared" ref="J81:J83" si="34">K81/60/24</f>
        <v>3.125E-2</v>
      </c>
      <c r="K81">
        <v>45</v>
      </c>
    </row>
    <row r="82" spans="1:11" x14ac:dyDescent="0.25">
      <c r="A82" s="3" t="s">
        <v>194</v>
      </c>
      <c r="B82" s="3" t="s">
        <v>32</v>
      </c>
      <c r="C82" s="3" t="s">
        <v>195</v>
      </c>
      <c r="D82" s="3" t="s">
        <v>195</v>
      </c>
      <c r="E82" s="3" t="s">
        <v>196</v>
      </c>
      <c r="F82" s="3" t="s">
        <v>387</v>
      </c>
      <c r="G82" s="3" t="s">
        <v>47</v>
      </c>
      <c r="H82" s="4" t="str">
        <f t="shared" si="26"/>
        <v>21.08.2022 18:15</v>
      </c>
      <c r="I82" s="5">
        <f t="shared" si="33"/>
        <v>44794.802083333328</v>
      </c>
      <c r="J82">
        <f t="shared" si="34"/>
        <v>4.1666666666666664E-2</v>
      </c>
      <c r="K82">
        <v>60</v>
      </c>
    </row>
    <row r="83" spans="1:11" x14ac:dyDescent="0.25">
      <c r="A83" s="3" t="s">
        <v>185</v>
      </c>
      <c r="B83" s="3" t="s">
        <v>32</v>
      </c>
      <c r="C83" s="3" t="s">
        <v>186</v>
      </c>
      <c r="D83" s="3" t="s">
        <v>186</v>
      </c>
      <c r="E83" s="3" t="s">
        <v>187</v>
      </c>
      <c r="F83" s="3" t="s">
        <v>384</v>
      </c>
      <c r="G83" s="3" t="s">
        <v>47</v>
      </c>
      <c r="H83" s="4" t="str">
        <f t="shared" si="26"/>
        <v>21.08.2022 20:00</v>
      </c>
      <c r="I83" s="5">
        <f t="shared" si="33"/>
        <v>44794.895833333336</v>
      </c>
      <c r="J83">
        <f t="shared" si="34"/>
        <v>6.25E-2</v>
      </c>
      <c r="K83">
        <v>90</v>
      </c>
    </row>
    <row r="84" spans="1:11" x14ac:dyDescent="0.25">
      <c r="A84" s="3" t="s">
        <v>197</v>
      </c>
      <c r="B84" s="3" t="s">
        <v>32</v>
      </c>
      <c r="C84" s="3" t="s">
        <v>198</v>
      </c>
      <c r="D84" s="3" t="s">
        <v>198</v>
      </c>
      <c r="E84" s="3" t="s">
        <v>22</v>
      </c>
      <c r="F84" s="3" t="s">
        <v>388</v>
      </c>
      <c r="G84" s="3" t="s">
        <v>85</v>
      </c>
      <c r="H84" s="4" t="str">
        <f t="shared" si="26"/>
        <v>21.08.2022 20:15</v>
      </c>
      <c r="I84" s="5">
        <f>H84+J84</f>
        <v>44794.895833333336</v>
      </c>
      <c r="J84">
        <f>K84/60/24</f>
        <v>5.2083333333333336E-2</v>
      </c>
      <c r="K84">
        <v>75</v>
      </c>
    </row>
  </sheetData>
  <hyperlinks>
    <hyperlink ref="E33" r:id="rId1" xr:uid="{8C3182DD-4A5E-4029-88EC-FB55AD8CC037}"/>
    <hyperlink ref="E72" r:id="rId2" xr:uid="{1A951E52-A180-45BC-8240-F54FC3A9B4C3}"/>
  </hyperlinks>
  <pageMargins left="0.7" right="0.7" top="0.78740157499999996" bottom="0.78740157499999996"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7316-CA72-4621-B2D6-2369E8220C16}">
  <sheetPr codeName="transformOutput1"/>
  <dimension ref="A1:L84"/>
  <sheetViews>
    <sheetView topLeftCell="A21" workbookViewId="0"/>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3" t="s">
        <v>1</v>
      </c>
      <c r="B1" s="3" t="s">
        <v>260</v>
      </c>
      <c r="C1" s="3" t="s">
        <v>261</v>
      </c>
      <c r="D1" s="3" t="s">
        <v>262</v>
      </c>
      <c r="E1" s="3" t="s">
        <v>5</v>
      </c>
      <c r="F1" s="3" t="s">
        <v>263</v>
      </c>
      <c r="G1" s="3" t="s">
        <v>6</v>
      </c>
      <c r="H1" s="3" t="s">
        <v>30</v>
      </c>
      <c r="I1" s="3"/>
      <c r="J1" s="3"/>
      <c r="K1" s="3"/>
      <c r="L1" s="3"/>
    </row>
    <row r="2" spans="1:12" x14ac:dyDescent="0.25">
      <c r="A2" s="3" t="s">
        <v>293</v>
      </c>
      <c r="B2" s="3">
        <v>1</v>
      </c>
      <c r="C2" s="3">
        <v>1660149000</v>
      </c>
      <c r="D2" s="3">
        <v>1660152600</v>
      </c>
      <c r="E2" s="3" t="s">
        <v>417</v>
      </c>
      <c r="F2" s="3" t="s">
        <v>418</v>
      </c>
      <c r="G2" s="3" t="s">
        <v>8</v>
      </c>
      <c r="H2" s="6" t="s">
        <v>9</v>
      </c>
      <c r="I2" s="3"/>
      <c r="J2" s="3"/>
      <c r="K2" s="3"/>
    </row>
    <row r="3" spans="1:12" x14ac:dyDescent="0.25">
      <c r="A3" s="3" t="s">
        <v>289</v>
      </c>
      <c r="B3" s="3">
        <v>4</v>
      </c>
      <c r="C3" s="3">
        <v>1660152600</v>
      </c>
      <c r="D3" s="3">
        <v>1660153500</v>
      </c>
      <c r="E3" s="3" t="s">
        <v>417</v>
      </c>
      <c r="F3" s="3" t="s">
        <v>418</v>
      </c>
      <c r="G3" s="3" t="s">
        <v>419</v>
      </c>
      <c r="H3" s="6" t="s">
        <v>145</v>
      </c>
      <c r="I3" s="3"/>
      <c r="J3" s="3"/>
      <c r="K3" s="3"/>
    </row>
    <row r="4" spans="1:12" x14ac:dyDescent="0.25">
      <c r="A4" s="3" t="s">
        <v>326</v>
      </c>
      <c r="B4" s="3">
        <v>5</v>
      </c>
      <c r="C4" s="3">
        <v>1660155300</v>
      </c>
      <c r="D4" s="3">
        <v>1660160700</v>
      </c>
      <c r="E4" s="3" t="s">
        <v>417</v>
      </c>
      <c r="F4" s="3" t="s">
        <v>420</v>
      </c>
      <c r="G4" s="3" t="s">
        <v>421</v>
      </c>
      <c r="H4" s="6" t="s">
        <v>175</v>
      </c>
      <c r="I4" s="3"/>
      <c r="J4" s="3"/>
      <c r="K4" s="3"/>
    </row>
    <row r="5" spans="1:12" x14ac:dyDescent="0.25">
      <c r="A5" s="3" t="s">
        <v>320</v>
      </c>
      <c r="B5" s="3">
        <v>1</v>
      </c>
      <c r="C5" s="3">
        <v>1660156200</v>
      </c>
      <c r="D5" s="3">
        <v>1660160700</v>
      </c>
      <c r="E5" s="3" t="s">
        <v>417</v>
      </c>
      <c r="F5" s="3" t="s">
        <v>422</v>
      </c>
      <c r="G5" s="3" t="s">
        <v>423</v>
      </c>
      <c r="H5" s="6" t="s">
        <v>74</v>
      </c>
      <c r="I5" s="3"/>
      <c r="J5" s="3"/>
      <c r="K5" s="3"/>
    </row>
    <row r="6" spans="1:12" x14ac:dyDescent="0.25">
      <c r="A6" s="3" t="s">
        <v>271</v>
      </c>
      <c r="B6" s="3">
        <v>2</v>
      </c>
      <c r="C6" s="3">
        <v>1660235400</v>
      </c>
      <c r="D6" s="3">
        <v>1660238100</v>
      </c>
      <c r="E6" s="3" t="s">
        <v>417</v>
      </c>
      <c r="F6" s="3" t="s">
        <v>424</v>
      </c>
      <c r="G6" s="3" t="s">
        <v>425</v>
      </c>
      <c r="H6" s="6" t="s">
        <v>59</v>
      </c>
      <c r="I6" s="3"/>
      <c r="J6" s="3"/>
      <c r="K6" s="3"/>
    </row>
    <row r="7" spans="1:12" x14ac:dyDescent="0.25">
      <c r="A7" s="3" t="s">
        <v>276</v>
      </c>
      <c r="B7" s="3">
        <v>2</v>
      </c>
      <c r="C7" s="3">
        <v>1660238100</v>
      </c>
      <c r="D7" s="3">
        <v>1660239000</v>
      </c>
      <c r="E7" s="3" t="s">
        <v>417</v>
      </c>
      <c r="F7" s="3" t="s">
        <v>424</v>
      </c>
      <c r="G7" s="3" t="s">
        <v>426</v>
      </c>
      <c r="H7" s="6" t="s">
        <v>94</v>
      </c>
      <c r="I7" s="3"/>
      <c r="J7" s="3"/>
      <c r="K7" s="3"/>
    </row>
    <row r="8" spans="1:12" x14ac:dyDescent="0.25">
      <c r="A8" s="3" t="s">
        <v>306</v>
      </c>
      <c r="B8" s="3">
        <v>2</v>
      </c>
      <c r="C8" s="3">
        <v>1660240800</v>
      </c>
      <c r="D8" s="3">
        <v>1660243500</v>
      </c>
      <c r="E8" s="3" t="s">
        <v>417</v>
      </c>
      <c r="F8" s="3" t="s">
        <v>427</v>
      </c>
      <c r="G8" s="3" t="s">
        <v>428</v>
      </c>
      <c r="H8" s="6" t="s">
        <v>216</v>
      </c>
      <c r="I8" s="3"/>
      <c r="J8" s="3"/>
      <c r="K8" s="3"/>
    </row>
    <row r="9" spans="1:12" x14ac:dyDescent="0.25">
      <c r="A9" s="3" t="s">
        <v>324</v>
      </c>
      <c r="B9" s="3">
        <v>1</v>
      </c>
      <c r="C9" s="3">
        <v>1660242600</v>
      </c>
      <c r="D9" s="3">
        <v>1660247100</v>
      </c>
      <c r="E9" s="3" t="s">
        <v>417</v>
      </c>
      <c r="F9" s="3" t="s">
        <v>429</v>
      </c>
      <c r="G9" s="3" t="s">
        <v>430</v>
      </c>
      <c r="H9" s="6" t="s">
        <v>140</v>
      </c>
      <c r="I9" s="3"/>
      <c r="J9" s="3"/>
      <c r="K9" s="3"/>
    </row>
    <row r="10" spans="1:12" x14ac:dyDescent="0.25">
      <c r="A10" s="3" t="s">
        <v>295</v>
      </c>
      <c r="B10" s="3">
        <v>1</v>
      </c>
      <c r="C10" s="3">
        <v>1660246200</v>
      </c>
      <c r="D10" s="3">
        <v>1660250700</v>
      </c>
      <c r="E10" s="3" t="s">
        <v>417</v>
      </c>
      <c r="F10" s="3" t="s">
        <v>424</v>
      </c>
      <c r="G10" s="3" t="s">
        <v>431</v>
      </c>
      <c r="H10" s="6" t="s">
        <v>169</v>
      </c>
      <c r="I10" s="3"/>
      <c r="J10" s="3"/>
      <c r="K10" s="3"/>
    </row>
    <row r="11" spans="1:12" x14ac:dyDescent="0.25">
      <c r="A11" s="3" t="s">
        <v>281</v>
      </c>
      <c r="B11" s="3">
        <v>1</v>
      </c>
      <c r="C11" s="3">
        <v>1660297500</v>
      </c>
      <c r="D11" s="3">
        <v>1660301100</v>
      </c>
      <c r="E11" s="3" t="s">
        <v>417</v>
      </c>
      <c r="F11" s="3" t="s">
        <v>432</v>
      </c>
      <c r="G11" s="3" t="s">
        <v>433</v>
      </c>
      <c r="H11" s="6" t="s">
        <v>108</v>
      </c>
      <c r="I11" s="3"/>
      <c r="J11" s="3"/>
      <c r="K11" s="3"/>
    </row>
    <row r="12" spans="1:12" x14ac:dyDescent="0.25">
      <c r="A12" s="3" t="s">
        <v>286</v>
      </c>
      <c r="B12" s="3">
        <v>1</v>
      </c>
      <c r="C12" s="3">
        <v>1660321800</v>
      </c>
      <c r="D12" s="3">
        <v>1660324500</v>
      </c>
      <c r="E12" s="3" t="s">
        <v>417</v>
      </c>
      <c r="F12" s="3" t="s">
        <v>434</v>
      </c>
      <c r="G12" s="3" t="s">
        <v>435</v>
      </c>
      <c r="H12" s="6" t="s">
        <v>131</v>
      </c>
      <c r="I12" s="3"/>
      <c r="J12" s="3"/>
      <c r="K12" s="3"/>
    </row>
    <row r="13" spans="1:12" x14ac:dyDescent="0.25">
      <c r="A13" s="3" t="s">
        <v>302</v>
      </c>
      <c r="B13" s="3">
        <v>1</v>
      </c>
      <c r="C13" s="3">
        <v>1660324500</v>
      </c>
      <c r="D13" s="3">
        <v>1660325400</v>
      </c>
      <c r="E13" s="3" t="s">
        <v>417</v>
      </c>
      <c r="F13" s="3" t="s">
        <v>436</v>
      </c>
      <c r="G13" s="3" t="s">
        <v>437</v>
      </c>
      <c r="H13" s="6" t="s">
        <v>201</v>
      </c>
      <c r="I13" s="3"/>
      <c r="J13" s="3"/>
      <c r="K13" s="3"/>
    </row>
    <row r="14" spans="1:12" x14ac:dyDescent="0.25">
      <c r="A14" s="3" t="s">
        <v>292</v>
      </c>
      <c r="B14" s="3">
        <v>2</v>
      </c>
      <c r="C14" s="3">
        <v>1660327200</v>
      </c>
      <c r="D14" s="3">
        <v>1660329900</v>
      </c>
      <c r="E14" s="3" t="s">
        <v>417</v>
      </c>
      <c r="F14" s="3" t="s">
        <v>439</v>
      </c>
      <c r="G14" s="3" t="s">
        <v>438</v>
      </c>
      <c r="H14" s="6" t="s">
        <v>159</v>
      </c>
      <c r="I14" s="3"/>
      <c r="J14" s="3"/>
      <c r="K14" s="3"/>
    </row>
    <row r="15" spans="1:12" x14ac:dyDescent="0.25">
      <c r="A15" s="3" t="s">
        <v>305</v>
      </c>
      <c r="B15" s="3">
        <v>1</v>
      </c>
      <c r="C15" s="3">
        <v>1660328100</v>
      </c>
      <c r="D15" s="3">
        <v>1660332600</v>
      </c>
      <c r="E15" s="3" t="s">
        <v>417</v>
      </c>
      <c r="F15" s="3" t="s">
        <v>441</v>
      </c>
      <c r="G15" s="3" t="s">
        <v>440</v>
      </c>
      <c r="H15" s="6" t="s">
        <v>213</v>
      </c>
      <c r="I15" s="3"/>
      <c r="J15" s="3"/>
      <c r="K15" s="3"/>
    </row>
    <row r="16" spans="1:12" x14ac:dyDescent="0.25">
      <c r="A16" s="3" t="s">
        <v>268</v>
      </c>
      <c r="B16" s="3">
        <v>6</v>
      </c>
      <c r="C16" s="3">
        <v>1660329000</v>
      </c>
      <c r="D16" s="3">
        <v>1660333500</v>
      </c>
      <c r="E16" s="3" t="s">
        <v>417</v>
      </c>
      <c r="F16" s="3" t="s">
        <v>443</v>
      </c>
      <c r="G16" s="3" t="s">
        <v>442</v>
      </c>
      <c r="H16" s="6" t="s">
        <v>50</v>
      </c>
      <c r="I16" s="3"/>
      <c r="J16" s="3"/>
      <c r="K16" s="3"/>
    </row>
    <row r="17" spans="1:11" x14ac:dyDescent="0.25">
      <c r="A17" s="3" t="s">
        <v>273</v>
      </c>
      <c r="B17" s="3">
        <v>3</v>
      </c>
      <c r="C17" s="3">
        <v>1660331700</v>
      </c>
      <c r="D17" s="3">
        <v>1660335300</v>
      </c>
      <c r="E17" s="3" t="s">
        <v>417</v>
      </c>
      <c r="F17" s="3" t="s">
        <v>444</v>
      </c>
      <c r="G17" s="3" t="s">
        <v>445</v>
      </c>
      <c r="H17" s="6" t="s">
        <v>77</v>
      </c>
      <c r="I17" s="3"/>
      <c r="J17" s="3"/>
      <c r="K17" s="3"/>
    </row>
    <row r="18" spans="1:11" x14ac:dyDescent="0.25">
      <c r="A18" s="3" t="s">
        <v>272</v>
      </c>
      <c r="B18" s="3">
        <v>3</v>
      </c>
      <c r="C18" s="3">
        <v>1660338000</v>
      </c>
      <c r="D18" s="3">
        <v>1660341000</v>
      </c>
      <c r="E18" s="3" t="s">
        <v>417</v>
      </c>
      <c r="F18" s="3" t="s">
        <v>424</v>
      </c>
      <c r="G18" s="3" t="s">
        <v>446</v>
      </c>
      <c r="H18" s="6" t="s">
        <v>71</v>
      </c>
      <c r="I18" s="3"/>
      <c r="J18" s="3"/>
      <c r="K18" s="3"/>
    </row>
    <row r="19" spans="1:11" x14ac:dyDescent="0.25">
      <c r="A19" s="3" t="s">
        <v>127</v>
      </c>
      <c r="B19" s="3">
        <v>1</v>
      </c>
      <c r="C19" s="3">
        <v>1660392000</v>
      </c>
      <c r="D19" s="3">
        <v>1660409100</v>
      </c>
      <c r="E19" s="3" t="s">
        <v>417</v>
      </c>
      <c r="F19" s="3" t="s">
        <v>447</v>
      </c>
      <c r="G19" s="3" t="s">
        <v>448</v>
      </c>
      <c r="H19" s="6" t="s">
        <v>128</v>
      </c>
      <c r="I19" s="3"/>
      <c r="J19" s="3"/>
      <c r="K19" s="3"/>
    </row>
    <row r="20" spans="1:11" x14ac:dyDescent="0.25">
      <c r="A20" s="3" t="s">
        <v>267</v>
      </c>
      <c r="B20" s="3">
        <v>4</v>
      </c>
      <c r="C20" s="3">
        <v>1660406400</v>
      </c>
      <c r="D20" s="3">
        <v>1660408800</v>
      </c>
      <c r="E20" s="3" t="s">
        <v>417</v>
      </c>
      <c r="F20" s="3" t="s">
        <v>449</v>
      </c>
      <c r="G20" s="3" t="s">
        <v>450</v>
      </c>
      <c r="H20" s="6" t="s">
        <v>46</v>
      </c>
      <c r="I20" s="3"/>
      <c r="J20" s="3"/>
      <c r="K20" s="3"/>
    </row>
    <row r="21" spans="1:11" x14ac:dyDescent="0.25">
      <c r="A21" s="3" t="s">
        <v>287</v>
      </c>
      <c r="B21" s="3">
        <v>1</v>
      </c>
      <c r="C21" s="3">
        <v>1660410600</v>
      </c>
      <c r="D21" s="3">
        <v>1660413000</v>
      </c>
      <c r="E21" s="3" t="s">
        <v>417</v>
      </c>
      <c r="F21" s="3" t="s">
        <v>451</v>
      </c>
      <c r="G21" s="3" t="s">
        <v>452</v>
      </c>
      <c r="H21" s="6" t="s">
        <v>137</v>
      </c>
      <c r="I21" s="3"/>
      <c r="J21" s="3"/>
      <c r="K21" s="3"/>
    </row>
    <row r="22" spans="1:11" x14ac:dyDescent="0.25">
      <c r="A22" s="3" t="s">
        <v>252</v>
      </c>
      <c r="B22" s="3">
        <v>1</v>
      </c>
      <c r="C22" s="3">
        <v>1660411800</v>
      </c>
      <c r="D22" s="3">
        <v>1660414200</v>
      </c>
      <c r="E22" s="3" t="s">
        <v>417</v>
      </c>
      <c r="F22" s="3" t="s">
        <v>27</v>
      </c>
      <c r="G22" s="3" t="s">
        <v>453</v>
      </c>
      <c r="H22" s="6" t="s">
        <v>253</v>
      </c>
      <c r="I22" s="3"/>
      <c r="J22" s="3"/>
      <c r="K22" s="3"/>
    </row>
    <row r="23" spans="1:11" x14ac:dyDescent="0.25">
      <c r="A23" s="3" t="s">
        <v>294</v>
      </c>
      <c r="B23" s="3">
        <v>4</v>
      </c>
      <c r="C23" s="3">
        <v>1660413000</v>
      </c>
      <c r="D23" s="3">
        <v>1660413900</v>
      </c>
      <c r="E23" s="3" t="s">
        <v>417</v>
      </c>
      <c r="F23" s="3" t="s">
        <v>27</v>
      </c>
      <c r="G23" s="3" t="s">
        <v>26</v>
      </c>
      <c r="H23" s="6" t="s">
        <v>25</v>
      </c>
      <c r="I23" s="3"/>
      <c r="J23" s="3"/>
      <c r="K23" s="3"/>
    </row>
    <row r="24" spans="1:11" x14ac:dyDescent="0.25">
      <c r="A24" s="3" t="s">
        <v>321</v>
      </c>
      <c r="B24" s="3">
        <v>4</v>
      </c>
      <c r="C24" s="3">
        <v>1660414500</v>
      </c>
      <c r="D24" s="3">
        <v>1660418100</v>
      </c>
      <c r="E24" s="3" t="s">
        <v>417</v>
      </c>
      <c r="F24" s="3" t="s">
        <v>454</v>
      </c>
      <c r="G24" s="3" t="s">
        <v>455</v>
      </c>
      <c r="H24" s="6" t="s">
        <v>84</v>
      </c>
      <c r="I24" s="3"/>
      <c r="J24" s="3"/>
      <c r="K24" s="3"/>
    </row>
    <row r="25" spans="1:11" x14ac:dyDescent="0.25">
      <c r="A25" s="3" t="s">
        <v>275</v>
      </c>
      <c r="B25" s="3">
        <v>6</v>
      </c>
      <c r="C25" s="3">
        <v>1660415400</v>
      </c>
      <c r="D25" s="3">
        <v>1660418100</v>
      </c>
      <c r="E25" s="3" t="s">
        <v>417</v>
      </c>
      <c r="F25" s="3" t="s">
        <v>456</v>
      </c>
      <c r="G25" s="3" t="s">
        <v>457</v>
      </c>
      <c r="H25" s="6" t="s">
        <v>91</v>
      </c>
      <c r="I25" s="3"/>
      <c r="J25" s="3"/>
      <c r="K25" s="3"/>
    </row>
    <row r="26" spans="1:11" x14ac:dyDescent="0.25">
      <c r="A26" s="3" t="s">
        <v>308</v>
      </c>
      <c r="B26" s="3">
        <v>1</v>
      </c>
      <c r="C26" s="3">
        <v>1660416300</v>
      </c>
      <c r="D26" s="3">
        <v>1660419900</v>
      </c>
      <c r="E26" s="3" t="s">
        <v>417</v>
      </c>
      <c r="F26" s="3" t="s">
        <v>18</v>
      </c>
      <c r="G26" s="3" t="s">
        <v>19</v>
      </c>
      <c r="H26" s="6" t="s">
        <v>20</v>
      </c>
      <c r="I26" s="3"/>
      <c r="J26" s="3"/>
      <c r="K26" s="3"/>
    </row>
    <row r="27" spans="1:11" x14ac:dyDescent="0.25">
      <c r="A27" s="3" t="s">
        <v>318</v>
      </c>
      <c r="B27" s="3">
        <v>4</v>
      </c>
      <c r="C27" s="3">
        <v>1660419900</v>
      </c>
      <c r="D27" s="3">
        <v>1660422900</v>
      </c>
      <c r="E27" s="3" t="s">
        <v>417</v>
      </c>
      <c r="F27" s="3" t="s">
        <v>458</v>
      </c>
      <c r="G27" s="3" t="s">
        <v>459</v>
      </c>
      <c r="H27" s="6" t="s">
        <v>65</v>
      </c>
      <c r="I27" s="3"/>
      <c r="J27" s="3"/>
      <c r="K27" s="3"/>
    </row>
    <row r="28" spans="1:11" x14ac:dyDescent="0.25">
      <c r="A28" s="3" t="s">
        <v>313</v>
      </c>
      <c r="B28" s="3">
        <v>1</v>
      </c>
      <c r="C28" s="3">
        <v>1660424400</v>
      </c>
      <c r="D28" s="3">
        <v>1660427700</v>
      </c>
      <c r="E28" s="3" t="s">
        <v>417</v>
      </c>
      <c r="F28" s="3" t="s">
        <v>460</v>
      </c>
      <c r="G28" s="3" t="s">
        <v>461</v>
      </c>
      <c r="H28" s="6" t="s">
        <v>235</v>
      </c>
      <c r="I28" s="3"/>
      <c r="J28" s="3"/>
      <c r="K28" s="3"/>
    </row>
    <row r="29" spans="1:11" x14ac:dyDescent="0.25">
      <c r="A29" s="3" t="s">
        <v>410</v>
      </c>
      <c r="B29" s="3">
        <v>5</v>
      </c>
      <c r="C29" s="3">
        <v>1660478400</v>
      </c>
      <c r="D29" s="3">
        <v>1660489200</v>
      </c>
      <c r="E29" s="3" t="s">
        <v>417</v>
      </c>
      <c r="F29" s="3" t="s">
        <v>555</v>
      </c>
      <c r="G29" s="3" t="s">
        <v>560</v>
      </c>
      <c r="H29" s="6"/>
      <c r="I29" s="3"/>
      <c r="J29" s="3"/>
      <c r="K29" s="3"/>
    </row>
    <row r="30" spans="1:11" x14ac:dyDescent="0.25">
      <c r="A30" s="3" t="s">
        <v>412</v>
      </c>
      <c r="B30" s="3">
        <v>2</v>
      </c>
      <c r="C30" s="3">
        <v>1660478400</v>
      </c>
      <c r="D30" s="3">
        <v>1660489200</v>
      </c>
      <c r="E30" s="3" t="s">
        <v>417</v>
      </c>
      <c r="F30" s="3" t="s">
        <v>555</v>
      </c>
      <c r="G30" s="3" t="s">
        <v>560</v>
      </c>
      <c r="H30" s="6"/>
      <c r="I30" s="3"/>
      <c r="J30" s="3"/>
      <c r="K30" s="3"/>
    </row>
    <row r="31" spans="1:11" x14ac:dyDescent="0.25">
      <c r="A31" s="3" t="s">
        <v>304</v>
      </c>
      <c r="B31" s="3">
        <v>1</v>
      </c>
      <c r="C31" s="3">
        <v>1660482000</v>
      </c>
      <c r="D31" s="3">
        <v>1660484700</v>
      </c>
      <c r="E31" s="3" t="s">
        <v>417</v>
      </c>
      <c r="F31" s="3" t="s">
        <v>447</v>
      </c>
      <c r="G31" s="3" t="s">
        <v>462</v>
      </c>
      <c r="H31" s="6" t="s">
        <v>210</v>
      </c>
      <c r="I31" s="3"/>
      <c r="J31" s="3"/>
      <c r="K31" s="3"/>
    </row>
    <row r="32" spans="1:11" x14ac:dyDescent="0.25">
      <c r="A32" s="3" t="s">
        <v>413</v>
      </c>
      <c r="B32" s="3">
        <v>2</v>
      </c>
      <c r="C32" s="3">
        <v>1660487400</v>
      </c>
      <c r="D32" s="3">
        <v>1660491000</v>
      </c>
      <c r="E32" s="3" t="s">
        <v>417</v>
      </c>
      <c r="F32" s="3" t="s">
        <v>556</v>
      </c>
      <c r="G32" s="3" t="s">
        <v>563</v>
      </c>
      <c r="H32" s="6"/>
      <c r="I32" s="3"/>
      <c r="J32" s="3"/>
      <c r="K32" s="3"/>
    </row>
    <row r="33" spans="1:11" x14ac:dyDescent="0.25">
      <c r="A33" s="3" t="s">
        <v>404</v>
      </c>
      <c r="B33" s="3">
        <v>1</v>
      </c>
      <c r="C33" s="3">
        <v>1660471200</v>
      </c>
      <c r="D33" s="3">
        <v>1660482000</v>
      </c>
      <c r="E33" s="3" t="s">
        <v>417</v>
      </c>
      <c r="F33" s="3" t="s">
        <v>557</v>
      </c>
      <c r="G33" s="3" t="s">
        <v>463</v>
      </c>
      <c r="H33" s="6" t="s">
        <v>405</v>
      </c>
      <c r="I33" s="3"/>
      <c r="J33" s="3"/>
      <c r="K33" s="3"/>
    </row>
    <row r="34" spans="1:11" x14ac:dyDescent="0.25">
      <c r="A34" s="3" t="s">
        <v>290</v>
      </c>
      <c r="B34" s="3">
        <v>3</v>
      </c>
      <c r="C34" s="3">
        <v>1660485600</v>
      </c>
      <c r="D34" s="3">
        <v>1660488300</v>
      </c>
      <c r="E34" s="3" t="s">
        <v>417</v>
      </c>
      <c r="F34" s="3" t="s">
        <v>465</v>
      </c>
      <c r="G34" s="3" t="s">
        <v>464</v>
      </c>
      <c r="H34" s="6" t="s">
        <v>151</v>
      </c>
      <c r="I34" s="3"/>
      <c r="J34" s="3"/>
      <c r="K34" s="3"/>
    </row>
    <row r="35" spans="1:11" x14ac:dyDescent="0.25">
      <c r="A35" s="3" t="s">
        <v>317</v>
      </c>
      <c r="B35" s="3">
        <v>1</v>
      </c>
      <c r="C35" s="3">
        <v>1660490100</v>
      </c>
      <c r="D35" s="3">
        <v>1660493700</v>
      </c>
      <c r="E35" s="3" t="s">
        <v>417</v>
      </c>
      <c r="F35" s="3" t="s">
        <v>467</v>
      </c>
      <c r="G35" s="3" t="s">
        <v>466</v>
      </c>
      <c r="H35" s="6" t="s">
        <v>62</v>
      </c>
      <c r="I35" s="3"/>
      <c r="J35" s="3"/>
      <c r="K35" s="3"/>
    </row>
    <row r="36" spans="1:11" x14ac:dyDescent="0.25">
      <c r="A36" s="3" t="s">
        <v>282</v>
      </c>
      <c r="B36" s="3">
        <v>2</v>
      </c>
      <c r="C36" s="3">
        <v>1660493700</v>
      </c>
      <c r="D36" s="3">
        <v>1660494600</v>
      </c>
      <c r="E36" s="3" t="s">
        <v>417</v>
      </c>
      <c r="F36" s="3" t="s">
        <v>468</v>
      </c>
      <c r="G36" s="3" t="s">
        <v>469</v>
      </c>
      <c r="H36" s="6" t="s">
        <v>114</v>
      </c>
      <c r="I36" s="3"/>
      <c r="J36" s="3"/>
      <c r="K36" s="3"/>
    </row>
    <row r="37" spans="1:11" x14ac:dyDescent="0.25">
      <c r="A37" s="3" t="s">
        <v>296</v>
      </c>
      <c r="B37" s="3">
        <v>3</v>
      </c>
      <c r="C37" s="3">
        <v>1660496400</v>
      </c>
      <c r="D37" s="3">
        <v>1660500000</v>
      </c>
      <c r="E37" s="3" t="s">
        <v>417</v>
      </c>
      <c r="F37" s="3" t="s">
        <v>471</v>
      </c>
      <c r="G37" s="3" t="s">
        <v>470</v>
      </c>
      <c r="H37" s="6" t="s">
        <v>172</v>
      </c>
      <c r="I37" s="3"/>
      <c r="J37" s="3"/>
      <c r="K37" s="3"/>
    </row>
    <row r="38" spans="1:11" x14ac:dyDescent="0.25">
      <c r="A38" s="3" t="s">
        <v>298</v>
      </c>
      <c r="B38" s="3">
        <v>4</v>
      </c>
      <c r="C38" s="3">
        <v>1660500900</v>
      </c>
      <c r="D38" s="3">
        <v>1660505400</v>
      </c>
      <c r="E38" s="3" t="s">
        <v>417</v>
      </c>
      <c r="F38" s="3" t="s">
        <v>473</v>
      </c>
      <c r="G38" s="3" t="s">
        <v>472</v>
      </c>
      <c r="H38" s="6" t="s">
        <v>181</v>
      </c>
      <c r="I38" s="3"/>
      <c r="J38" s="3"/>
      <c r="K38" s="3"/>
    </row>
    <row r="39" spans="1:11" x14ac:dyDescent="0.25">
      <c r="A39" s="3" t="s">
        <v>269</v>
      </c>
      <c r="B39" s="3">
        <v>3</v>
      </c>
      <c r="C39" s="3">
        <v>1660501800</v>
      </c>
      <c r="D39" s="3">
        <v>1660506300</v>
      </c>
      <c r="E39" s="3" t="s">
        <v>417</v>
      </c>
      <c r="F39" s="3" t="s">
        <v>475</v>
      </c>
      <c r="G39" s="3" t="s">
        <v>474</v>
      </c>
      <c r="H39" s="6" t="s">
        <v>53</v>
      </c>
      <c r="I39" s="3"/>
      <c r="J39" s="3"/>
      <c r="K39" s="3"/>
    </row>
    <row r="40" spans="1:11" x14ac:dyDescent="0.25">
      <c r="A40" s="3" t="s">
        <v>307</v>
      </c>
      <c r="B40" s="3">
        <v>1</v>
      </c>
      <c r="C40" s="3">
        <v>1660501800</v>
      </c>
      <c r="D40" s="3">
        <v>1660506300</v>
      </c>
      <c r="E40" s="3" t="s">
        <v>417</v>
      </c>
      <c r="F40" s="3" t="s">
        <v>11</v>
      </c>
      <c r="G40" s="3" t="s">
        <v>10</v>
      </c>
      <c r="H40" s="6" t="s">
        <v>12</v>
      </c>
      <c r="I40" s="3"/>
      <c r="J40" s="3"/>
      <c r="K40" s="3"/>
    </row>
    <row r="41" spans="1:11" x14ac:dyDescent="0.25">
      <c r="A41" s="3" t="s">
        <v>312</v>
      </c>
      <c r="B41" s="3">
        <v>1</v>
      </c>
      <c r="C41" s="3">
        <v>1660581900</v>
      </c>
      <c r="D41" s="3">
        <v>1660585500</v>
      </c>
      <c r="E41" s="3" t="s">
        <v>417</v>
      </c>
      <c r="F41" s="3" t="s">
        <v>477</v>
      </c>
      <c r="G41" s="3" t="s">
        <v>476</v>
      </c>
      <c r="H41" s="6" t="s">
        <v>232</v>
      </c>
      <c r="I41" s="3"/>
      <c r="J41" s="3"/>
      <c r="K41" s="3"/>
    </row>
    <row r="42" spans="1:11" x14ac:dyDescent="0.25">
      <c r="A42" s="3" t="s">
        <v>323</v>
      </c>
      <c r="B42" s="3">
        <v>1</v>
      </c>
      <c r="C42" s="3">
        <v>1660585500</v>
      </c>
      <c r="D42" s="3">
        <v>1660588200</v>
      </c>
      <c r="E42" s="3" t="s">
        <v>417</v>
      </c>
      <c r="F42" s="3" t="s">
        <v>478</v>
      </c>
      <c r="G42" s="3" t="s">
        <v>479</v>
      </c>
      <c r="H42" s="6" t="s">
        <v>120</v>
      </c>
      <c r="I42" s="3"/>
      <c r="J42" s="3"/>
      <c r="K42" s="3"/>
    </row>
    <row r="43" spans="1:11" x14ac:dyDescent="0.25">
      <c r="A43" s="3" t="s">
        <v>303</v>
      </c>
      <c r="B43" s="3">
        <v>1</v>
      </c>
      <c r="C43" s="3">
        <v>1660585500</v>
      </c>
      <c r="D43" s="3">
        <v>1660586400</v>
      </c>
      <c r="E43" s="3" t="s">
        <v>417</v>
      </c>
      <c r="F43" s="3" t="s">
        <v>558</v>
      </c>
      <c r="G43" s="3" t="s">
        <v>559</v>
      </c>
      <c r="H43" s="6" t="s">
        <v>207</v>
      </c>
      <c r="I43" s="3"/>
      <c r="J43" s="3"/>
      <c r="K43" s="3"/>
    </row>
    <row r="44" spans="1:11" x14ac:dyDescent="0.25">
      <c r="A44" s="3" t="s">
        <v>288</v>
      </c>
      <c r="B44" s="3">
        <v>1</v>
      </c>
      <c r="C44" s="3">
        <v>1660587300</v>
      </c>
      <c r="D44" s="3">
        <v>1660592700</v>
      </c>
      <c r="E44" s="3" t="s">
        <v>417</v>
      </c>
      <c r="F44" s="3" t="s">
        <v>480</v>
      </c>
      <c r="G44" s="3" t="s">
        <v>481</v>
      </c>
      <c r="H44" s="6" t="s">
        <v>21</v>
      </c>
      <c r="I44" s="3"/>
      <c r="J44" s="3"/>
      <c r="K44" s="3"/>
    </row>
    <row r="45" spans="1:11" x14ac:dyDescent="0.25">
      <c r="A45" s="3" t="s">
        <v>284</v>
      </c>
      <c r="B45" s="3">
        <v>1</v>
      </c>
      <c r="C45" s="3">
        <v>1660588200</v>
      </c>
      <c r="D45" s="3">
        <v>1660592700</v>
      </c>
      <c r="E45" s="3" t="s">
        <v>417</v>
      </c>
      <c r="F45" s="3" t="s">
        <v>16</v>
      </c>
      <c r="G45" s="3" t="s">
        <v>15</v>
      </c>
      <c r="H45" s="6" t="s">
        <v>17</v>
      </c>
      <c r="I45" s="3"/>
      <c r="J45" s="3"/>
      <c r="K45" s="3"/>
    </row>
    <row r="46" spans="1:11" x14ac:dyDescent="0.25">
      <c r="A46" s="3" t="s">
        <v>314</v>
      </c>
      <c r="B46" s="3">
        <v>4</v>
      </c>
      <c r="C46" s="3">
        <v>1660588200</v>
      </c>
      <c r="D46" s="3">
        <v>1660591800</v>
      </c>
      <c r="E46" s="3" t="s">
        <v>417</v>
      </c>
      <c r="F46" s="3" t="s">
        <v>482</v>
      </c>
      <c r="G46" s="3" t="s">
        <v>483</v>
      </c>
      <c r="H46" s="6" t="s">
        <v>250</v>
      </c>
      <c r="I46" s="3"/>
      <c r="J46" s="3"/>
      <c r="K46" s="3"/>
    </row>
    <row r="47" spans="1:11" x14ac:dyDescent="0.25">
      <c r="A47" s="3" t="s">
        <v>311</v>
      </c>
      <c r="B47" s="3">
        <v>1</v>
      </c>
      <c r="C47" s="3">
        <v>1660643100</v>
      </c>
      <c r="D47" s="3">
        <v>1660646700</v>
      </c>
      <c r="E47" s="3" t="s">
        <v>417</v>
      </c>
      <c r="F47" s="3" t="s">
        <v>484</v>
      </c>
      <c r="G47" s="3" t="s">
        <v>485</v>
      </c>
      <c r="H47" s="6" t="s">
        <v>229</v>
      </c>
      <c r="I47" s="3"/>
      <c r="J47" s="3"/>
      <c r="K47" s="3"/>
    </row>
    <row r="48" spans="1:11" x14ac:dyDescent="0.25">
      <c r="A48" s="3" t="s">
        <v>291</v>
      </c>
      <c r="B48" s="3">
        <v>1</v>
      </c>
      <c r="C48" s="3">
        <v>1660668300</v>
      </c>
      <c r="D48" s="3">
        <v>1660671000</v>
      </c>
      <c r="E48" s="3" t="s">
        <v>417</v>
      </c>
      <c r="F48" s="3" t="s">
        <v>486</v>
      </c>
      <c r="G48" s="3" t="s">
        <v>487</v>
      </c>
      <c r="H48" s="6" t="s">
        <v>156</v>
      </c>
      <c r="I48" s="3"/>
      <c r="J48" s="3"/>
      <c r="K48" s="3"/>
    </row>
    <row r="49" spans="1:11" x14ac:dyDescent="0.25">
      <c r="A49" s="3" t="s">
        <v>243</v>
      </c>
      <c r="B49" s="3">
        <v>1</v>
      </c>
      <c r="C49" s="3">
        <v>1660670100</v>
      </c>
      <c r="D49" s="3">
        <v>1660672800</v>
      </c>
      <c r="E49" s="3" t="s">
        <v>417</v>
      </c>
      <c r="F49" s="3" t="s">
        <v>489</v>
      </c>
      <c r="G49" s="3" t="s">
        <v>488</v>
      </c>
      <c r="H49" s="6" t="s">
        <v>244</v>
      </c>
      <c r="I49" s="3"/>
      <c r="J49" s="3"/>
      <c r="K49" s="3"/>
    </row>
    <row r="50" spans="1:11" x14ac:dyDescent="0.25">
      <c r="A50" s="3" t="s">
        <v>280</v>
      </c>
      <c r="B50" s="3">
        <v>6</v>
      </c>
      <c r="C50" s="3">
        <v>1660671000</v>
      </c>
      <c r="D50" s="3">
        <v>1660671900</v>
      </c>
      <c r="E50" s="3" t="s">
        <v>417</v>
      </c>
      <c r="F50" s="3" t="s">
        <v>490</v>
      </c>
      <c r="G50" s="3" t="s">
        <v>491</v>
      </c>
      <c r="H50" s="6" t="s">
        <v>105</v>
      </c>
      <c r="I50" s="3"/>
      <c r="J50" s="3"/>
      <c r="K50" s="3"/>
    </row>
    <row r="51" spans="1:11" x14ac:dyDescent="0.25">
      <c r="A51" s="3" t="s">
        <v>266</v>
      </c>
      <c r="B51" s="3">
        <v>3</v>
      </c>
      <c r="C51" s="3">
        <v>1660671900</v>
      </c>
      <c r="D51" s="3">
        <v>1660674600</v>
      </c>
      <c r="E51" s="3" t="s">
        <v>417</v>
      </c>
      <c r="F51" s="3" t="s">
        <v>493</v>
      </c>
      <c r="G51" s="3" t="s">
        <v>492</v>
      </c>
      <c r="H51" s="6" t="s">
        <v>42</v>
      </c>
      <c r="I51" s="3"/>
      <c r="J51" s="3"/>
      <c r="K51" s="3"/>
    </row>
    <row r="52" spans="1:11" x14ac:dyDescent="0.25">
      <c r="A52" s="3" t="s">
        <v>264</v>
      </c>
      <c r="B52" s="3">
        <v>1</v>
      </c>
      <c r="C52" s="3">
        <v>1660673700</v>
      </c>
      <c r="D52" s="3">
        <v>1660679100</v>
      </c>
      <c r="E52" s="3" t="s">
        <v>417</v>
      </c>
      <c r="F52" s="3" t="s">
        <v>495</v>
      </c>
      <c r="G52" s="3" t="s">
        <v>494</v>
      </c>
      <c r="H52" s="6" t="s">
        <v>34</v>
      </c>
      <c r="I52" s="3"/>
      <c r="J52" s="3"/>
      <c r="K52" s="3"/>
    </row>
    <row r="53" spans="1:11" x14ac:dyDescent="0.25">
      <c r="A53" s="3" t="s">
        <v>332</v>
      </c>
      <c r="B53" s="3">
        <v>1</v>
      </c>
      <c r="C53" s="3">
        <v>1660673700</v>
      </c>
      <c r="D53" s="3">
        <v>1660678200</v>
      </c>
      <c r="E53" s="3" t="s">
        <v>417</v>
      </c>
      <c r="F53" s="3" t="s">
        <v>496</v>
      </c>
      <c r="G53" s="3" t="s">
        <v>497</v>
      </c>
      <c r="H53" s="6" t="s">
        <v>247</v>
      </c>
      <c r="I53" s="3"/>
      <c r="J53" s="3"/>
      <c r="K53" s="3"/>
    </row>
    <row r="54" spans="1:11" x14ac:dyDescent="0.25">
      <c r="A54" s="3" t="s">
        <v>316</v>
      </c>
      <c r="B54" s="3">
        <v>3</v>
      </c>
      <c r="C54" s="3">
        <v>1660673700</v>
      </c>
      <c r="D54" s="3">
        <v>1660677300</v>
      </c>
      <c r="E54" s="3" t="s">
        <v>417</v>
      </c>
      <c r="F54" s="3" t="s">
        <v>498</v>
      </c>
      <c r="G54" s="3" t="s">
        <v>499</v>
      </c>
      <c r="H54" s="6" t="s">
        <v>259</v>
      </c>
      <c r="I54" s="3"/>
      <c r="J54" s="3"/>
      <c r="K54" s="3"/>
    </row>
    <row r="55" spans="1:11" x14ac:dyDescent="0.25">
      <c r="A55" s="3" t="s">
        <v>297</v>
      </c>
      <c r="B55" s="3">
        <v>5</v>
      </c>
      <c r="C55" s="3">
        <v>1660729500</v>
      </c>
      <c r="D55" s="3">
        <v>1660733100</v>
      </c>
      <c r="E55" s="3" t="s">
        <v>417</v>
      </c>
      <c r="F55" s="3" t="s">
        <v>500</v>
      </c>
      <c r="G55" s="3" t="s">
        <v>501</v>
      </c>
      <c r="H55" s="6" t="s">
        <v>178</v>
      </c>
      <c r="I55" s="3"/>
      <c r="J55" s="3"/>
      <c r="K55" s="3"/>
    </row>
    <row r="56" spans="1:11" x14ac:dyDescent="0.25">
      <c r="A56" s="3" t="s">
        <v>322</v>
      </c>
      <c r="B56" s="3">
        <v>1</v>
      </c>
      <c r="C56" s="3">
        <v>1660741200</v>
      </c>
      <c r="D56" s="3">
        <v>1660744800</v>
      </c>
      <c r="E56" s="3" t="s">
        <v>417</v>
      </c>
      <c r="F56" s="3" t="s">
        <v>502</v>
      </c>
      <c r="G56" s="3" t="s">
        <v>503</v>
      </c>
      <c r="H56" s="6" t="s">
        <v>111</v>
      </c>
      <c r="I56" s="3"/>
      <c r="J56" s="3"/>
      <c r="K56" s="3"/>
    </row>
    <row r="57" spans="1:11" x14ac:dyDescent="0.25">
      <c r="A57" s="3" t="s">
        <v>153</v>
      </c>
      <c r="B57" s="3">
        <v>3</v>
      </c>
      <c r="C57" s="3">
        <v>1660754700</v>
      </c>
      <c r="D57" s="3">
        <v>1660757400</v>
      </c>
      <c r="E57" s="3" t="s">
        <v>417</v>
      </c>
      <c r="F57" s="3" t="s">
        <v>13</v>
      </c>
      <c r="G57" s="3" t="s">
        <v>504</v>
      </c>
      <c r="H57" s="6" t="s">
        <v>14</v>
      </c>
      <c r="I57" s="3"/>
      <c r="J57" s="3"/>
      <c r="K57" s="3"/>
    </row>
    <row r="58" spans="1:11" x14ac:dyDescent="0.25">
      <c r="A58" s="3" t="s">
        <v>279</v>
      </c>
      <c r="B58" s="3">
        <v>4</v>
      </c>
      <c r="C58" s="3">
        <v>1660757400</v>
      </c>
      <c r="D58" s="3">
        <v>1660758300</v>
      </c>
      <c r="E58" s="3" t="s">
        <v>417</v>
      </c>
      <c r="F58" s="3" t="s">
        <v>505</v>
      </c>
      <c r="G58" s="3" t="s">
        <v>24</v>
      </c>
      <c r="H58" s="6" t="s">
        <v>23</v>
      </c>
      <c r="I58" s="3"/>
      <c r="J58" s="3"/>
      <c r="K58" s="3"/>
    </row>
    <row r="59" spans="1:11" x14ac:dyDescent="0.25">
      <c r="A59" s="3" t="s">
        <v>328</v>
      </c>
      <c r="B59" s="3">
        <v>1</v>
      </c>
      <c r="C59" s="3">
        <v>1660758300</v>
      </c>
      <c r="D59" s="3">
        <v>1660761000</v>
      </c>
      <c r="E59" s="3" t="s">
        <v>417</v>
      </c>
      <c r="F59" s="3" t="s">
        <v>506</v>
      </c>
      <c r="G59" s="3" t="s">
        <v>507</v>
      </c>
      <c r="H59" s="6" t="s">
        <v>193</v>
      </c>
      <c r="I59" s="3"/>
      <c r="J59" s="3"/>
      <c r="K59" s="3"/>
    </row>
    <row r="60" spans="1:11" x14ac:dyDescent="0.25">
      <c r="A60" s="3" t="s">
        <v>285</v>
      </c>
      <c r="B60" s="3">
        <v>4</v>
      </c>
      <c r="C60" s="3">
        <v>1660760100</v>
      </c>
      <c r="D60" s="3">
        <v>1660765500</v>
      </c>
      <c r="E60" s="3" t="s">
        <v>417</v>
      </c>
      <c r="F60" s="3" t="s">
        <v>509</v>
      </c>
      <c r="G60" s="3" t="s">
        <v>508</v>
      </c>
      <c r="H60" s="6" t="s">
        <v>125</v>
      </c>
      <c r="I60" s="3"/>
      <c r="J60" s="3"/>
      <c r="K60" s="3"/>
    </row>
    <row r="61" spans="1:11" x14ac:dyDescent="0.25">
      <c r="A61" s="3" t="s">
        <v>315</v>
      </c>
      <c r="B61" s="3">
        <v>2</v>
      </c>
      <c r="C61" s="3">
        <v>1660760100</v>
      </c>
      <c r="D61" s="3">
        <v>1660764600</v>
      </c>
      <c r="E61" s="3" t="s">
        <v>417</v>
      </c>
      <c r="F61" s="3" t="s">
        <v>511</v>
      </c>
      <c r="G61" s="3" t="s">
        <v>510</v>
      </c>
      <c r="H61" s="6" t="s">
        <v>256</v>
      </c>
      <c r="I61" s="3"/>
      <c r="J61" s="3"/>
      <c r="K61" s="3"/>
    </row>
    <row r="62" spans="1:11" x14ac:dyDescent="0.25">
      <c r="A62" s="3" t="s">
        <v>412</v>
      </c>
      <c r="B62" s="3">
        <v>3</v>
      </c>
      <c r="C62" s="3">
        <v>1660737600</v>
      </c>
      <c r="D62" s="3">
        <v>1660748400</v>
      </c>
      <c r="E62" s="3" t="s">
        <v>417</v>
      </c>
      <c r="F62" s="3" t="s">
        <v>555</v>
      </c>
      <c r="G62" s="3" t="s">
        <v>564</v>
      </c>
      <c r="H62" s="6"/>
      <c r="I62" s="3"/>
      <c r="J62" s="3"/>
      <c r="K62" s="3"/>
    </row>
    <row r="63" spans="1:11" x14ac:dyDescent="0.25">
      <c r="A63" s="3" t="s">
        <v>331</v>
      </c>
      <c r="B63" s="3">
        <v>1</v>
      </c>
      <c r="C63" s="3">
        <v>1660761000</v>
      </c>
      <c r="D63" s="3">
        <v>1660765500</v>
      </c>
      <c r="E63" s="3" t="s">
        <v>417</v>
      </c>
      <c r="F63" s="3" t="s">
        <v>512</v>
      </c>
      <c r="G63" s="3" t="s">
        <v>513</v>
      </c>
      <c r="H63" s="6" t="s">
        <v>241</v>
      </c>
      <c r="I63" s="3"/>
      <c r="J63" s="3"/>
      <c r="K63" s="3"/>
    </row>
    <row r="64" spans="1:11" x14ac:dyDescent="0.25">
      <c r="A64" s="3" t="s">
        <v>274</v>
      </c>
      <c r="B64" s="3">
        <v>1</v>
      </c>
      <c r="C64" s="3">
        <v>1660815900</v>
      </c>
      <c r="D64" s="3">
        <v>1660819500</v>
      </c>
      <c r="E64" s="3" t="s">
        <v>417</v>
      </c>
      <c r="F64" s="3" t="s">
        <v>514</v>
      </c>
      <c r="G64" s="3" t="s">
        <v>515</v>
      </c>
      <c r="H64" s="6" t="s">
        <v>80</v>
      </c>
      <c r="I64" s="3"/>
      <c r="J64" s="3"/>
      <c r="K64" s="3"/>
    </row>
    <row r="65" spans="1:11" x14ac:dyDescent="0.25">
      <c r="A65" s="3" t="s">
        <v>299</v>
      </c>
      <c r="B65" s="3">
        <v>2</v>
      </c>
      <c r="C65" s="3">
        <v>1660840200</v>
      </c>
      <c r="D65" s="3">
        <v>1660842900</v>
      </c>
      <c r="E65" s="3" t="s">
        <v>417</v>
      </c>
      <c r="F65" s="3" t="s">
        <v>516</v>
      </c>
      <c r="G65" s="3" t="s">
        <v>517</v>
      </c>
      <c r="H65" s="6" t="s">
        <v>184</v>
      </c>
      <c r="I65" s="3"/>
      <c r="J65" s="3"/>
      <c r="K65" s="3"/>
    </row>
    <row r="66" spans="1:11" x14ac:dyDescent="0.25">
      <c r="A66" s="3" t="s">
        <v>265</v>
      </c>
      <c r="B66" s="3">
        <v>1</v>
      </c>
      <c r="C66" s="3">
        <v>1660842900</v>
      </c>
      <c r="D66" s="3">
        <v>1660843800</v>
      </c>
      <c r="E66" s="3" t="s">
        <v>417</v>
      </c>
      <c r="F66" s="3" t="s">
        <v>518</v>
      </c>
      <c r="G66" s="3" t="s">
        <v>519</v>
      </c>
      <c r="H66" s="6" t="s">
        <v>38</v>
      </c>
      <c r="I66" s="3"/>
      <c r="J66" s="3"/>
      <c r="K66" s="3"/>
    </row>
    <row r="67" spans="1:11" x14ac:dyDescent="0.25">
      <c r="A67" s="3" t="s">
        <v>283</v>
      </c>
      <c r="B67" s="3">
        <v>3</v>
      </c>
      <c r="C67" s="3">
        <v>1660845600</v>
      </c>
      <c r="D67" s="3">
        <v>1660849200</v>
      </c>
      <c r="E67" s="3" t="s">
        <v>417</v>
      </c>
      <c r="F67" s="3" t="s">
        <v>520</v>
      </c>
      <c r="G67" s="3" t="s">
        <v>521</v>
      </c>
      <c r="H67" s="6" t="s">
        <v>117</v>
      </c>
      <c r="I67" s="3"/>
      <c r="J67" s="3"/>
      <c r="K67" s="3"/>
    </row>
    <row r="68" spans="1:11" x14ac:dyDescent="0.25">
      <c r="A68" s="3" t="s">
        <v>133</v>
      </c>
      <c r="B68" s="3">
        <v>6</v>
      </c>
      <c r="C68" s="3">
        <v>1660846500</v>
      </c>
      <c r="D68" s="3">
        <v>1660851000</v>
      </c>
      <c r="E68" s="3" t="s">
        <v>417</v>
      </c>
      <c r="F68" s="3" t="s">
        <v>523</v>
      </c>
      <c r="G68" s="3" t="s">
        <v>522</v>
      </c>
      <c r="H68" s="6" t="s">
        <v>134</v>
      </c>
      <c r="I68" s="3"/>
      <c r="J68" s="3"/>
      <c r="K68" s="3"/>
    </row>
    <row r="69" spans="1:11" x14ac:dyDescent="0.25">
      <c r="A69" s="3" t="s">
        <v>270</v>
      </c>
      <c r="B69" s="3">
        <v>1</v>
      </c>
      <c r="C69" s="3">
        <v>1660847400</v>
      </c>
      <c r="D69" s="3">
        <v>1660851840</v>
      </c>
      <c r="E69" s="3" t="s">
        <v>417</v>
      </c>
      <c r="F69" s="3" t="s">
        <v>524</v>
      </c>
      <c r="G69" s="3" t="s">
        <v>525</v>
      </c>
      <c r="H69" s="6" t="s">
        <v>56</v>
      </c>
      <c r="I69" s="3"/>
      <c r="J69" s="3"/>
      <c r="K69" s="3"/>
    </row>
    <row r="70" spans="1:11" x14ac:dyDescent="0.25">
      <c r="A70" s="3" t="s">
        <v>277</v>
      </c>
      <c r="B70" s="3">
        <v>1</v>
      </c>
      <c r="C70" s="3">
        <v>1660851000</v>
      </c>
      <c r="D70" s="3">
        <v>1660855500</v>
      </c>
      <c r="E70" s="3" t="s">
        <v>417</v>
      </c>
      <c r="F70" s="3" t="s">
        <v>526</v>
      </c>
      <c r="G70" s="3" t="s">
        <v>527</v>
      </c>
      <c r="H70" s="6" t="s">
        <v>97</v>
      </c>
      <c r="I70" s="3"/>
      <c r="J70" s="3"/>
      <c r="K70" s="3"/>
    </row>
    <row r="71" spans="1:11" x14ac:dyDescent="0.25">
      <c r="A71" s="3" t="s">
        <v>310</v>
      </c>
      <c r="B71" s="3">
        <v>1</v>
      </c>
      <c r="C71" s="3">
        <v>1660932900</v>
      </c>
      <c r="D71" s="3">
        <v>1660938300</v>
      </c>
      <c r="E71" s="3" t="s">
        <v>417</v>
      </c>
      <c r="F71" s="3" t="s">
        <v>528</v>
      </c>
      <c r="G71" s="3" t="s">
        <v>529</v>
      </c>
      <c r="H71" s="6" t="s">
        <v>226</v>
      </c>
      <c r="I71" s="3"/>
      <c r="J71" s="3"/>
      <c r="K71" s="3"/>
    </row>
    <row r="72" spans="1:11" x14ac:dyDescent="0.25">
      <c r="A72" s="3" t="s">
        <v>407</v>
      </c>
      <c r="B72" s="3">
        <v>2</v>
      </c>
      <c r="C72" s="3">
        <v>1660843800</v>
      </c>
      <c r="D72" s="3">
        <v>1660846200</v>
      </c>
      <c r="E72" s="3" t="s">
        <v>417</v>
      </c>
      <c r="F72" s="3" t="s">
        <v>530</v>
      </c>
      <c r="G72" s="3" t="s">
        <v>531</v>
      </c>
      <c r="H72" s="6" t="s">
        <v>409</v>
      </c>
      <c r="I72" s="3"/>
      <c r="J72" s="3"/>
      <c r="K72" s="3"/>
    </row>
    <row r="73" spans="1:11" x14ac:dyDescent="0.25">
      <c r="A73" s="3" t="s">
        <v>325</v>
      </c>
      <c r="B73" s="3">
        <v>2</v>
      </c>
      <c r="C73" s="3">
        <v>1660934400</v>
      </c>
      <c r="D73" s="3">
        <v>1660938900</v>
      </c>
      <c r="E73" s="3" t="s">
        <v>417</v>
      </c>
      <c r="F73" s="3" t="s">
        <v>532</v>
      </c>
      <c r="G73" s="3" t="s">
        <v>533</v>
      </c>
      <c r="H73" s="6" t="s">
        <v>162</v>
      </c>
      <c r="I73" s="3"/>
      <c r="J73" s="3"/>
      <c r="K73" s="3"/>
    </row>
    <row r="74" spans="1:11" x14ac:dyDescent="0.25">
      <c r="A74" s="3" t="s">
        <v>330</v>
      </c>
      <c r="B74" s="3">
        <v>1</v>
      </c>
      <c r="C74" s="3">
        <v>1660941000</v>
      </c>
      <c r="D74" s="3">
        <v>1660946400</v>
      </c>
      <c r="E74" s="3" t="s">
        <v>417</v>
      </c>
      <c r="F74" s="3" t="s">
        <v>534</v>
      </c>
      <c r="G74" s="3" t="s">
        <v>535</v>
      </c>
      <c r="H74" s="6" t="s">
        <v>238</v>
      </c>
      <c r="I74" s="3"/>
      <c r="J74" s="3"/>
      <c r="K74" s="3"/>
    </row>
    <row r="75" spans="1:11" x14ac:dyDescent="0.25">
      <c r="A75" s="3" t="s">
        <v>189</v>
      </c>
      <c r="B75" s="3">
        <v>1</v>
      </c>
      <c r="C75" s="3">
        <v>1660996800</v>
      </c>
      <c r="D75" s="3">
        <v>1660999800</v>
      </c>
      <c r="E75" s="3" t="s">
        <v>417</v>
      </c>
      <c r="F75" s="3" t="s">
        <v>536</v>
      </c>
      <c r="G75" s="3" t="s">
        <v>537</v>
      </c>
      <c r="H75" s="6" t="s">
        <v>190</v>
      </c>
      <c r="I75" s="3"/>
      <c r="J75" s="3"/>
      <c r="K75" s="3"/>
    </row>
    <row r="76" spans="1:11" x14ac:dyDescent="0.25">
      <c r="A76" s="3" t="s">
        <v>329</v>
      </c>
      <c r="B76" s="3">
        <v>2</v>
      </c>
      <c r="C76" s="3">
        <v>1661013900</v>
      </c>
      <c r="D76" s="3">
        <v>1661016600</v>
      </c>
      <c r="E76" s="3" t="s">
        <v>417</v>
      </c>
      <c r="F76" s="3" t="s">
        <v>538</v>
      </c>
      <c r="G76" s="3" t="s">
        <v>539</v>
      </c>
      <c r="H76" s="6" t="s">
        <v>204</v>
      </c>
      <c r="I76" s="3"/>
      <c r="J76" s="3"/>
      <c r="K76" s="3"/>
    </row>
    <row r="77" spans="1:11" x14ac:dyDescent="0.25">
      <c r="A77" s="3" t="s">
        <v>309</v>
      </c>
      <c r="B77" s="3">
        <v>3</v>
      </c>
      <c r="C77" s="3">
        <v>1661018400</v>
      </c>
      <c r="D77" s="3">
        <v>1661022900</v>
      </c>
      <c r="E77" s="3" t="s">
        <v>417</v>
      </c>
      <c r="F77" s="3" t="s">
        <v>540</v>
      </c>
      <c r="G77" s="3" t="s">
        <v>541</v>
      </c>
      <c r="H77" s="6" t="s">
        <v>223</v>
      </c>
      <c r="I77" s="3"/>
      <c r="J77" s="3"/>
      <c r="K77" s="3"/>
    </row>
    <row r="78" spans="1:11" x14ac:dyDescent="0.25">
      <c r="A78" s="3" t="s">
        <v>147</v>
      </c>
      <c r="B78" s="3">
        <v>3</v>
      </c>
      <c r="C78" s="3">
        <v>1661019300</v>
      </c>
      <c r="D78" s="3">
        <v>1661023800</v>
      </c>
      <c r="E78" s="3" t="s">
        <v>417</v>
      </c>
      <c r="F78" s="3" t="s">
        <v>542</v>
      </c>
      <c r="G78" s="3" t="s">
        <v>543</v>
      </c>
      <c r="H78" s="6" t="s">
        <v>148</v>
      </c>
      <c r="I78" s="3"/>
      <c r="J78" s="3"/>
      <c r="K78" s="3"/>
    </row>
    <row r="79" spans="1:11" x14ac:dyDescent="0.25">
      <c r="A79" t="s">
        <v>319</v>
      </c>
      <c r="B79" s="3">
        <v>1</v>
      </c>
      <c r="C79" s="3">
        <v>1661025600</v>
      </c>
      <c r="D79" s="3">
        <v>1661031000</v>
      </c>
      <c r="E79" s="3" t="s">
        <v>417</v>
      </c>
      <c r="F79" s="3" t="s">
        <v>538</v>
      </c>
      <c r="G79" s="3" t="s">
        <v>544</v>
      </c>
      <c r="H79" s="6" t="s">
        <v>68</v>
      </c>
    </row>
    <row r="80" spans="1:11" x14ac:dyDescent="0.25">
      <c r="A80" t="s">
        <v>87</v>
      </c>
      <c r="B80" s="3" t="s">
        <v>417</v>
      </c>
      <c r="C80" s="3">
        <v>1661083200</v>
      </c>
      <c r="D80" s="3">
        <v>1661086800</v>
      </c>
      <c r="E80" s="3" t="s">
        <v>417</v>
      </c>
      <c r="F80" s="3" t="s">
        <v>545</v>
      </c>
      <c r="G80" s="3" t="s">
        <v>546</v>
      </c>
      <c r="H80" s="6" t="s">
        <v>88</v>
      </c>
    </row>
    <row r="81" spans="1:8" x14ac:dyDescent="0.25">
      <c r="A81" t="s">
        <v>278</v>
      </c>
      <c r="B81" s="3" t="s">
        <v>417</v>
      </c>
      <c r="C81" s="3">
        <v>1661093100</v>
      </c>
      <c r="D81" s="3">
        <v>1661095800</v>
      </c>
      <c r="E81" s="3" t="s">
        <v>417</v>
      </c>
      <c r="F81" s="3" t="s">
        <v>547</v>
      </c>
      <c r="G81" s="3" t="s">
        <v>548</v>
      </c>
      <c r="H81" s="6" t="s">
        <v>100</v>
      </c>
    </row>
    <row r="82" spans="1:8" x14ac:dyDescent="0.25">
      <c r="A82" t="s">
        <v>300</v>
      </c>
      <c r="B82" s="3" t="s">
        <v>417</v>
      </c>
      <c r="C82" s="3">
        <v>1661098500</v>
      </c>
      <c r="D82" s="3">
        <v>1661102100</v>
      </c>
      <c r="E82" s="3" t="s">
        <v>417</v>
      </c>
      <c r="F82" s="3" t="s">
        <v>549</v>
      </c>
      <c r="G82" s="3" t="s">
        <v>550</v>
      </c>
      <c r="H82" s="6" t="s">
        <v>196</v>
      </c>
    </row>
    <row r="83" spans="1:8" x14ac:dyDescent="0.25">
      <c r="A83" t="s">
        <v>327</v>
      </c>
      <c r="B83" s="3" t="s">
        <v>417</v>
      </c>
      <c r="C83" s="3">
        <v>1661104800</v>
      </c>
      <c r="D83" s="3">
        <v>1661110200</v>
      </c>
      <c r="E83" s="3" t="s">
        <v>417</v>
      </c>
      <c r="F83" s="3" t="s">
        <v>551</v>
      </c>
      <c r="G83" s="3" t="s">
        <v>552</v>
      </c>
      <c r="H83" s="6" t="s">
        <v>187</v>
      </c>
    </row>
    <row r="84" spans="1:8" x14ac:dyDescent="0.25">
      <c r="A84" t="s">
        <v>301</v>
      </c>
      <c r="B84" s="3" t="s">
        <v>417</v>
      </c>
      <c r="C84" s="3">
        <v>1661105700</v>
      </c>
      <c r="D84" s="3">
        <v>1661110200</v>
      </c>
      <c r="E84" s="3" t="s">
        <v>417</v>
      </c>
      <c r="F84" s="3" t="s">
        <v>553</v>
      </c>
      <c r="G84" s="3" t="s">
        <v>554</v>
      </c>
      <c r="H84" s="6" t="s">
        <v>22</v>
      </c>
    </row>
  </sheetData>
  <hyperlinks>
    <hyperlink ref="H2" r:id="rId1" xr:uid="{18136F70-FCC7-4C9D-A756-8FEFE7BA9948}"/>
    <hyperlink ref="H3" r:id="rId2" xr:uid="{51329343-0E77-46B7-898D-B5A570F65453}"/>
    <hyperlink ref="H4" r:id="rId3" xr:uid="{80A62501-8FC3-4A04-92A0-38A74AC400DC}"/>
    <hyperlink ref="H5" r:id="rId4" xr:uid="{A2FA5916-0EC4-46C2-BE66-D752401596CC}"/>
    <hyperlink ref="H6" r:id="rId5" xr:uid="{3BCA6F7F-7EE5-4026-8F16-EDDE1E93E04C}"/>
    <hyperlink ref="H7" r:id="rId6" xr:uid="{10861BE8-2D59-4027-A61E-21A9B4A9A126}"/>
    <hyperlink ref="H8" r:id="rId7" xr:uid="{FBD55BC4-372D-4A56-8DE2-9536950B2BF4}"/>
    <hyperlink ref="H9" r:id="rId8" xr:uid="{1409A6AC-949C-4026-B800-F53DB37022A5}"/>
    <hyperlink ref="H10" r:id="rId9" xr:uid="{BE03B350-0840-47E9-92F4-59035185FB84}"/>
    <hyperlink ref="H11" r:id="rId10" xr:uid="{1FBDC877-F609-4EE2-B3E2-4F54CC363994}"/>
    <hyperlink ref="H12" r:id="rId11" xr:uid="{3F46A244-42A2-4EC7-A2B0-4B666CD24EE8}"/>
    <hyperlink ref="H13" r:id="rId12" xr:uid="{0A3AEBFC-C23B-4275-A9D3-FBC7BD0B7A31}"/>
    <hyperlink ref="H14" r:id="rId13" xr:uid="{F7BAFF02-5FA8-40FF-9A2E-8F192B807B31}"/>
    <hyperlink ref="H15" r:id="rId14" xr:uid="{2BFE8D13-EDCB-4395-9F77-6164A79C39BF}"/>
    <hyperlink ref="H16" r:id="rId15" xr:uid="{B31F6105-B1A2-4181-BBBB-C5A2B0178533}"/>
    <hyperlink ref="H17" r:id="rId16" xr:uid="{F04C989B-D0B3-4DE6-817A-582F6D6A9F78}"/>
    <hyperlink ref="H18" r:id="rId17" xr:uid="{91835D3E-A6D3-479B-9769-B9E75721DBA8}"/>
    <hyperlink ref="H19" r:id="rId18" xr:uid="{35145278-1D5C-4F72-8420-1EB370E9550F}"/>
    <hyperlink ref="H20" r:id="rId19" xr:uid="{95098EA2-9DE1-46E4-A8AC-E9B362138F0C}"/>
    <hyperlink ref="H21" r:id="rId20" xr:uid="{6F00FD69-08E4-4F01-97B1-0AF4DD5CD917}"/>
    <hyperlink ref="H22" r:id="rId21" xr:uid="{0EE2F499-D8EA-4F6B-B706-6A177431103A}"/>
    <hyperlink ref="H23" r:id="rId22" xr:uid="{6A3F361A-64BA-4412-8001-A4C006798C44}"/>
    <hyperlink ref="H24" r:id="rId23" xr:uid="{89A924AB-66EB-4787-8FEA-DF28B3BBC002}"/>
    <hyperlink ref="H25" r:id="rId24" xr:uid="{5D22DFCE-67F9-4243-B609-27BAC59BACB6}"/>
    <hyperlink ref="H26" r:id="rId25" xr:uid="{7A486051-5C1B-4337-8642-B088B9952D0E}"/>
    <hyperlink ref="H27" r:id="rId26" xr:uid="{EBF952F2-59E9-4627-9995-8780BEE4A5DB}"/>
    <hyperlink ref="H28" r:id="rId27" xr:uid="{EC456EF1-1A46-4047-9FF1-8C0A63C2B79F}"/>
    <hyperlink ref="H31" r:id="rId28" xr:uid="{318066F9-CEB8-4CD8-92AF-5F1BF1AAD74A}"/>
    <hyperlink ref="H33" r:id="rId29" xr:uid="{60ADF9D1-0E98-4CB2-8E7B-9E20B7A90E6A}"/>
    <hyperlink ref="H34" r:id="rId30" xr:uid="{C01DC8D0-3B4D-4850-A5EB-3A54A7773426}"/>
    <hyperlink ref="H35" r:id="rId31" xr:uid="{D798B988-6195-4A6D-92B8-F903E6EF17BB}"/>
    <hyperlink ref="H36" r:id="rId32" xr:uid="{64215779-D9FA-483B-BB83-5AA04987AA72}"/>
    <hyperlink ref="H37" r:id="rId33" xr:uid="{0A3EE083-C962-4B5E-BCB8-8580B0FDA4CD}"/>
    <hyperlink ref="H38" r:id="rId34" xr:uid="{6AFD1918-9797-4698-912F-EC1487618D96}"/>
    <hyperlink ref="H39" r:id="rId35" xr:uid="{5BE9A4A6-EBDC-4FB3-A6CB-10501EDE89D6}"/>
    <hyperlink ref="H40" r:id="rId36" xr:uid="{7456B149-3E9B-4A0E-9734-92B834DE0369}"/>
    <hyperlink ref="H41" r:id="rId37" xr:uid="{3C491461-B6D6-4EF6-90DC-426197C44CD5}"/>
    <hyperlink ref="H42" r:id="rId38" xr:uid="{E2497460-50B8-455F-AD63-A676232AF33E}"/>
    <hyperlink ref="H44" r:id="rId39" xr:uid="{0B06F285-6A13-473C-A5F9-59E7EDA748B2}"/>
    <hyperlink ref="H45" r:id="rId40" xr:uid="{54330D71-4EA9-4A23-BDE7-64186641D3E9}"/>
    <hyperlink ref="H46" r:id="rId41" xr:uid="{88ADF848-3FC8-412E-A41C-C88DC5B604DF}"/>
    <hyperlink ref="H47" r:id="rId42" xr:uid="{110D09FE-78AA-42D2-BD42-2A432AF7A1D0}"/>
    <hyperlink ref="H48" r:id="rId43" xr:uid="{1AA244D5-9350-4386-9E2C-7CECDD722939}"/>
    <hyperlink ref="H49" r:id="rId44" xr:uid="{4993D9A0-EFD3-4665-9927-F33237793AF2}"/>
    <hyperlink ref="H50" r:id="rId45" xr:uid="{48A7A055-0495-4DAC-9B46-FBFF3A47EBF1}"/>
    <hyperlink ref="H51" r:id="rId46" xr:uid="{DD8ACEF4-755D-436C-A538-A8D0CA21273B}"/>
    <hyperlink ref="H52" r:id="rId47" xr:uid="{F4B3F642-6B15-4CD0-B429-D2528C4A45FA}"/>
    <hyperlink ref="H53" r:id="rId48" xr:uid="{251674D2-7A56-47E5-8F94-8BAE6A2000AA}"/>
    <hyperlink ref="H54" r:id="rId49" xr:uid="{C96E656E-95E2-4269-951C-FCBB574B48F3}"/>
    <hyperlink ref="H55" r:id="rId50" xr:uid="{B37E0E4D-E49B-412E-8B66-40CD36EDF68D}"/>
    <hyperlink ref="H56" r:id="rId51" xr:uid="{A78D5DA4-52A7-4F8C-A85A-52801EB20D9E}"/>
    <hyperlink ref="H57" r:id="rId52" xr:uid="{8DB8C771-1954-40A5-B2EE-4B90E830DF97}"/>
    <hyperlink ref="H58" r:id="rId53" xr:uid="{4F63EBCF-D5D0-4332-ABC7-AFA2DD7E6164}"/>
    <hyperlink ref="H59" r:id="rId54" xr:uid="{1D3C12FF-0154-4DEB-8D94-9E5C592FDCE4}"/>
    <hyperlink ref="H60" r:id="rId55" xr:uid="{517507E4-F838-4222-AB6A-E7EF08B713EC}"/>
    <hyperlink ref="H61" r:id="rId56" xr:uid="{8526DCA9-3CCC-4210-B1B1-65247A1EDC5F}"/>
    <hyperlink ref="H63" r:id="rId57" xr:uid="{4D3C1A91-8C0C-4736-B3DE-89D98AF3CF74}"/>
    <hyperlink ref="H64" r:id="rId58" xr:uid="{FEF6A34B-68B8-4C0D-B1B3-764B2336B1CD}"/>
    <hyperlink ref="H65" r:id="rId59" xr:uid="{85CB6E4C-3C94-423E-B9E1-1A9AD7B50835}"/>
    <hyperlink ref="H66" r:id="rId60" xr:uid="{B2321B16-A401-414E-B297-70CF6BBB3D1C}"/>
    <hyperlink ref="H67" r:id="rId61" xr:uid="{76496215-75EE-4495-96CE-D88745A161E8}"/>
    <hyperlink ref="H68" r:id="rId62" xr:uid="{A7249614-B67E-49A1-9EDB-C2A0F4C0861D}"/>
    <hyperlink ref="H69" r:id="rId63" xr:uid="{695AB09C-AE0B-4541-8D7E-8326C4CA0162}"/>
    <hyperlink ref="H70" r:id="rId64" xr:uid="{208EE217-A0BB-462B-A19A-5C6C179D0173}"/>
    <hyperlink ref="H71" r:id="rId65" xr:uid="{A2F5C0E3-9822-4466-9607-5F88533BDE6A}"/>
    <hyperlink ref="H72" r:id="rId66" xr:uid="{D2438CD9-2A05-41D4-AE12-53FFD5DBF308}"/>
    <hyperlink ref="H73" r:id="rId67" xr:uid="{4AE2A151-00FF-4280-9B94-55ADC6498A5C}"/>
    <hyperlink ref="H74" r:id="rId68" xr:uid="{D564FDF3-375B-4AA5-AA1A-AB5470FC34DB}"/>
    <hyperlink ref="H75" r:id="rId69" xr:uid="{B1366CF1-E9A6-4BFA-AFCE-78170E45669B}"/>
    <hyperlink ref="H76" r:id="rId70" xr:uid="{FB34CEDE-5D5D-4D27-83CE-590F8B78554A}"/>
    <hyperlink ref="H77" r:id="rId71" xr:uid="{18476D68-8CE0-4794-ACB2-B7837471C9E0}"/>
    <hyperlink ref="H78" r:id="rId72" xr:uid="{75569B69-B1AC-4567-A24B-843EB134467B}"/>
    <hyperlink ref="H79" r:id="rId73" xr:uid="{EE1D3D0F-8705-4F52-AD5F-C5EF8208FC4E}"/>
    <hyperlink ref="H80" r:id="rId74" xr:uid="{BBB3C063-97EF-4BDD-8959-51D1CB119517}"/>
    <hyperlink ref="H81" r:id="rId75" xr:uid="{9BE28760-3AF3-42D6-A5D4-30C20A83133C}"/>
    <hyperlink ref="H82" r:id="rId76" xr:uid="{4430E2E7-73AD-4ECB-B922-A706242FC027}"/>
    <hyperlink ref="H83" r:id="rId77" xr:uid="{DA3051D1-F1FB-4DE8-93A8-9E7B9F34F820}"/>
    <hyperlink ref="H84" r:id="rId78" xr:uid="{355D9C2F-1D65-424A-ACAD-DF6D8DC3A31B}"/>
    <hyperlink ref="H43" r:id="rId79" xr:uid="{4AA693A9-4C3E-4836-9818-5B4619F575C5}"/>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I84"/>
  <sheetViews>
    <sheetView tabSelected="1" workbookViewId="0">
      <selection sqref="A1:I84"/>
    </sheetView>
  </sheetViews>
  <sheetFormatPr baseColWidth="10" defaultRowHeight="15" x14ac:dyDescent="0.25"/>
  <cols>
    <col min="2" max="2" width="22.85546875" customWidth="1"/>
    <col min="4" max="4" width="18.7109375" bestFit="1" customWidth="1"/>
    <col min="5" max="5" width="14.140625" bestFit="1" customWidth="1"/>
  </cols>
  <sheetData>
    <row r="1" spans="1:9" x14ac:dyDescent="0.25">
      <c r="A1" t="s">
        <v>0</v>
      </c>
      <c r="B1" t="s">
        <v>1</v>
      </c>
      <c r="C1" t="s">
        <v>2</v>
      </c>
      <c r="D1" t="s">
        <v>3</v>
      </c>
      <c r="E1" t="s">
        <v>4</v>
      </c>
      <c r="F1" t="s">
        <v>5</v>
      </c>
      <c r="G1" t="s">
        <v>263</v>
      </c>
      <c r="H1" t="s">
        <v>6</v>
      </c>
      <c r="I1" t="s">
        <v>7</v>
      </c>
    </row>
    <row r="2" spans="1:9" x14ac:dyDescent="0.25">
      <c r="A2">
        <v>0</v>
      </c>
      <c r="B2" t="s">
        <v>293</v>
      </c>
      <c r="C2" s="3">
        <v>1</v>
      </c>
      <c r="D2" s="3">
        <v>1660149000</v>
      </c>
      <c r="E2" s="3">
        <v>1660152600</v>
      </c>
      <c r="F2" s="1" t="s">
        <v>417</v>
      </c>
      <c r="G2" t="s">
        <v>418</v>
      </c>
      <c r="H2" t="s">
        <v>8</v>
      </c>
      <c r="I2" t="s">
        <v>9</v>
      </c>
    </row>
    <row r="3" spans="1:9" x14ac:dyDescent="0.25">
      <c r="A3">
        <v>1</v>
      </c>
      <c r="B3" t="s">
        <v>289</v>
      </c>
      <c r="C3" s="3">
        <v>4</v>
      </c>
      <c r="D3" s="3">
        <v>1660152600</v>
      </c>
      <c r="E3" s="3">
        <v>1660153500</v>
      </c>
      <c r="F3" s="1" t="s">
        <v>417</v>
      </c>
      <c r="G3" t="s">
        <v>418</v>
      </c>
      <c r="H3" t="s">
        <v>419</v>
      </c>
      <c r="I3" t="s">
        <v>145</v>
      </c>
    </row>
    <row r="4" spans="1:9" x14ac:dyDescent="0.25">
      <c r="A4">
        <v>2</v>
      </c>
      <c r="B4" t="s">
        <v>326</v>
      </c>
      <c r="C4" s="3">
        <v>1</v>
      </c>
      <c r="D4" s="3">
        <v>1660155300</v>
      </c>
      <c r="E4" s="3">
        <v>1660160700</v>
      </c>
      <c r="F4" s="1" t="s">
        <v>417</v>
      </c>
      <c r="G4" t="s">
        <v>420</v>
      </c>
      <c r="H4" t="s">
        <v>421</v>
      </c>
      <c r="I4" t="s">
        <v>175</v>
      </c>
    </row>
    <row r="5" spans="1:9" x14ac:dyDescent="0.25">
      <c r="A5">
        <v>3</v>
      </c>
      <c r="B5" t="s">
        <v>320</v>
      </c>
      <c r="C5" s="3">
        <v>2</v>
      </c>
      <c r="D5" s="3">
        <v>1660156200</v>
      </c>
      <c r="E5" s="3">
        <v>1660160700</v>
      </c>
      <c r="F5" s="1" t="s">
        <v>417</v>
      </c>
      <c r="G5" t="s">
        <v>422</v>
      </c>
      <c r="H5" t="s">
        <v>423</v>
      </c>
      <c r="I5" t="s">
        <v>74</v>
      </c>
    </row>
    <row r="6" spans="1:9" x14ac:dyDescent="0.25">
      <c r="A6">
        <v>4</v>
      </c>
      <c r="B6" t="s">
        <v>271</v>
      </c>
      <c r="C6" s="3">
        <v>1</v>
      </c>
      <c r="D6" s="3">
        <v>1660235400</v>
      </c>
      <c r="E6" s="3">
        <v>1660238100</v>
      </c>
      <c r="F6" s="1" t="s">
        <v>417</v>
      </c>
      <c r="G6" t="s">
        <v>424</v>
      </c>
      <c r="H6" t="s">
        <v>425</v>
      </c>
      <c r="I6" t="s">
        <v>59</v>
      </c>
    </row>
    <row r="7" spans="1:9" x14ac:dyDescent="0.25">
      <c r="A7">
        <v>5</v>
      </c>
      <c r="B7" t="s">
        <v>276</v>
      </c>
      <c r="C7" s="3">
        <v>4</v>
      </c>
      <c r="D7" s="3">
        <v>1660238100</v>
      </c>
      <c r="E7" s="3">
        <v>1660239000</v>
      </c>
      <c r="F7" s="1" t="s">
        <v>417</v>
      </c>
      <c r="G7" t="s">
        <v>424</v>
      </c>
      <c r="H7" t="s">
        <v>426</v>
      </c>
      <c r="I7" s="2" t="s">
        <v>94</v>
      </c>
    </row>
    <row r="8" spans="1:9" x14ac:dyDescent="0.25">
      <c r="A8">
        <v>6</v>
      </c>
      <c r="B8" t="s">
        <v>306</v>
      </c>
      <c r="C8" s="3">
        <v>1</v>
      </c>
      <c r="D8" s="3">
        <v>1660240800</v>
      </c>
      <c r="E8" s="3">
        <v>1660243500</v>
      </c>
      <c r="F8" s="1" t="s">
        <v>417</v>
      </c>
      <c r="G8" t="s">
        <v>427</v>
      </c>
      <c r="H8" t="s">
        <v>428</v>
      </c>
      <c r="I8" s="2" t="s">
        <v>216</v>
      </c>
    </row>
    <row r="9" spans="1:9" x14ac:dyDescent="0.25">
      <c r="A9">
        <v>7</v>
      </c>
      <c r="B9" t="s">
        <v>324</v>
      </c>
      <c r="C9" s="3">
        <v>2</v>
      </c>
      <c r="D9" s="3">
        <v>1660242600</v>
      </c>
      <c r="E9" s="3">
        <v>1660247100</v>
      </c>
      <c r="F9" s="1" t="s">
        <v>417</v>
      </c>
      <c r="G9" t="s">
        <v>429</v>
      </c>
      <c r="H9" t="s">
        <v>430</v>
      </c>
      <c r="I9" s="2" t="s">
        <v>140</v>
      </c>
    </row>
    <row r="10" spans="1:9" x14ac:dyDescent="0.25">
      <c r="A10">
        <v>8</v>
      </c>
      <c r="B10" t="s">
        <v>295</v>
      </c>
      <c r="C10" s="3">
        <v>1</v>
      </c>
      <c r="D10" s="3">
        <v>1660246200</v>
      </c>
      <c r="E10" s="3">
        <v>1660250700</v>
      </c>
      <c r="F10" s="1" t="s">
        <v>417</v>
      </c>
      <c r="G10" t="s">
        <v>424</v>
      </c>
      <c r="H10" t="s">
        <v>431</v>
      </c>
      <c r="I10" t="s">
        <v>169</v>
      </c>
    </row>
    <row r="11" spans="1:9" x14ac:dyDescent="0.25">
      <c r="A11">
        <v>9</v>
      </c>
      <c r="B11" t="s">
        <v>281</v>
      </c>
      <c r="C11" s="3">
        <v>6</v>
      </c>
      <c r="D11" s="3">
        <v>1660297500</v>
      </c>
      <c r="E11" s="3">
        <v>1660301100</v>
      </c>
      <c r="F11" s="1" t="s">
        <v>417</v>
      </c>
      <c r="G11" t="s">
        <v>432</v>
      </c>
      <c r="H11" t="s">
        <v>433</v>
      </c>
      <c r="I11" t="s">
        <v>108</v>
      </c>
    </row>
    <row r="12" spans="1:9" x14ac:dyDescent="0.25">
      <c r="A12">
        <v>10</v>
      </c>
      <c r="B12" t="s">
        <v>286</v>
      </c>
      <c r="C12" s="3">
        <v>1</v>
      </c>
      <c r="D12" s="3">
        <v>1660321800</v>
      </c>
      <c r="E12" s="3">
        <v>1660324500</v>
      </c>
      <c r="F12" s="1" t="s">
        <v>417</v>
      </c>
      <c r="G12" t="s">
        <v>434</v>
      </c>
      <c r="H12" t="s">
        <v>435</v>
      </c>
      <c r="I12" t="s">
        <v>131</v>
      </c>
    </row>
    <row r="13" spans="1:9" x14ac:dyDescent="0.25">
      <c r="A13">
        <v>11</v>
      </c>
      <c r="B13" t="s">
        <v>302</v>
      </c>
      <c r="C13" s="3">
        <v>4</v>
      </c>
      <c r="D13" s="3">
        <v>1660324500</v>
      </c>
      <c r="E13" s="3">
        <v>1660325400</v>
      </c>
      <c r="F13" s="1" t="s">
        <v>417</v>
      </c>
      <c r="G13" t="s">
        <v>436</v>
      </c>
      <c r="H13" t="s">
        <v>437</v>
      </c>
      <c r="I13" t="s">
        <v>201</v>
      </c>
    </row>
    <row r="14" spans="1:9" x14ac:dyDescent="0.25">
      <c r="A14">
        <v>12</v>
      </c>
      <c r="B14" t="s">
        <v>292</v>
      </c>
      <c r="C14" s="3">
        <v>1</v>
      </c>
      <c r="D14" s="3">
        <v>1660327200</v>
      </c>
      <c r="E14" s="3">
        <v>1660329900</v>
      </c>
      <c r="F14" s="1" t="s">
        <v>417</v>
      </c>
      <c r="G14" t="s">
        <v>439</v>
      </c>
      <c r="H14" t="s">
        <v>438</v>
      </c>
      <c r="I14" t="s">
        <v>159</v>
      </c>
    </row>
    <row r="15" spans="1:9" x14ac:dyDescent="0.25">
      <c r="A15">
        <v>13</v>
      </c>
      <c r="B15" t="s">
        <v>305</v>
      </c>
      <c r="C15" s="3">
        <v>3</v>
      </c>
      <c r="D15" s="3">
        <v>1660328100</v>
      </c>
      <c r="E15" s="3">
        <v>1660332600</v>
      </c>
      <c r="F15" s="1" t="s">
        <v>417</v>
      </c>
      <c r="G15" t="s">
        <v>441</v>
      </c>
      <c r="H15" t="s">
        <v>440</v>
      </c>
      <c r="I15" t="s">
        <v>213</v>
      </c>
    </row>
    <row r="16" spans="1:9" x14ac:dyDescent="0.25">
      <c r="A16">
        <v>14</v>
      </c>
      <c r="B16" t="s">
        <v>268</v>
      </c>
      <c r="C16" s="3">
        <v>2</v>
      </c>
      <c r="D16" s="3">
        <v>1660329000</v>
      </c>
      <c r="E16" s="3">
        <v>1660333500</v>
      </c>
      <c r="F16" s="1" t="s">
        <v>417</v>
      </c>
      <c r="G16" t="s">
        <v>443</v>
      </c>
      <c r="H16" t="s">
        <v>442</v>
      </c>
      <c r="I16" t="s">
        <v>50</v>
      </c>
    </row>
    <row r="17" spans="1:9" x14ac:dyDescent="0.25">
      <c r="A17">
        <v>15</v>
      </c>
      <c r="B17" t="s">
        <v>273</v>
      </c>
      <c r="C17" s="3">
        <v>1</v>
      </c>
      <c r="D17" s="3">
        <v>1660331700</v>
      </c>
      <c r="E17" s="3">
        <v>1660335300</v>
      </c>
      <c r="F17" s="1" t="s">
        <v>417</v>
      </c>
      <c r="G17" t="s">
        <v>444</v>
      </c>
      <c r="H17" t="s">
        <v>445</v>
      </c>
      <c r="I17" t="s">
        <v>77</v>
      </c>
    </row>
    <row r="18" spans="1:9" x14ac:dyDescent="0.25">
      <c r="A18">
        <v>16</v>
      </c>
      <c r="B18" t="s">
        <v>272</v>
      </c>
      <c r="C18" s="3">
        <v>1</v>
      </c>
      <c r="D18" s="3">
        <v>1660338000</v>
      </c>
      <c r="E18" s="3">
        <v>1660341000</v>
      </c>
      <c r="F18" t="s">
        <v>417</v>
      </c>
      <c r="G18" t="s">
        <v>424</v>
      </c>
      <c r="H18" t="s">
        <v>446</v>
      </c>
      <c r="I18" t="s">
        <v>71</v>
      </c>
    </row>
    <row r="19" spans="1:9" x14ac:dyDescent="0.25">
      <c r="A19">
        <v>17</v>
      </c>
      <c r="B19" t="s">
        <v>127</v>
      </c>
      <c r="C19" s="3">
        <v>2</v>
      </c>
      <c r="D19" s="3">
        <v>1660392000</v>
      </c>
      <c r="E19" s="3">
        <v>1660409100</v>
      </c>
      <c r="F19" t="s">
        <v>417</v>
      </c>
      <c r="G19" t="s">
        <v>447</v>
      </c>
      <c r="H19" t="s">
        <v>448</v>
      </c>
      <c r="I19" t="s">
        <v>128</v>
      </c>
    </row>
    <row r="20" spans="1:9" x14ac:dyDescent="0.25">
      <c r="A20">
        <v>18</v>
      </c>
      <c r="B20" t="s">
        <v>267</v>
      </c>
      <c r="C20" s="3">
        <v>1</v>
      </c>
      <c r="D20" s="3">
        <v>1660406400</v>
      </c>
      <c r="E20" s="3">
        <v>1660408800</v>
      </c>
      <c r="F20" t="s">
        <v>417</v>
      </c>
      <c r="G20" t="s">
        <v>449</v>
      </c>
      <c r="H20" t="s">
        <v>450</v>
      </c>
      <c r="I20" t="s">
        <v>46</v>
      </c>
    </row>
    <row r="21" spans="1:9" x14ac:dyDescent="0.25">
      <c r="A21">
        <v>19</v>
      </c>
      <c r="B21" t="s">
        <v>287</v>
      </c>
      <c r="C21" s="3">
        <v>1</v>
      </c>
      <c r="D21" s="3">
        <v>1660410600</v>
      </c>
      <c r="E21" s="3">
        <v>1660413000</v>
      </c>
      <c r="F21" t="s">
        <v>417</v>
      </c>
      <c r="G21" t="s">
        <v>451</v>
      </c>
      <c r="H21" t="s">
        <v>452</v>
      </c>
      <c r="I21" t="s">
        <v>137</v>
      </c>
    </row>
    <row r="22" spans="1:9" x14ac:dyDescent="0.25">
      <c r="A22">
        <v>20</v>
      </c>
      <c r="B22" t="s">
        <v>252</v>
      </c>
      <c r="C22" s="3">
        <v>2</v>
      </c>
      <c r="D22" s="3">
        <v>1660411800</v>
      </c>
      <c r="E22" s="3">
        <v>1660414200</v>
      </c>
      <c r="F22" t="s">
        <v>417</v>
      </c>
      <c r="G22" t="s">
        <v>27</v>
      </c>
      <c r="H22" t="s">
        <v>453</v>
      </c>
      <c r="I22" t="s">
        <v>253</v>
      </c>
    </row>
    <row r="23" spans="1:9" x14ac:dyDescent="0.25">
      <c r="A23">
        <v>21</v>
      </c>
      <c r="B23" t="s">
        <v>294</v>
      </c>
      <c r="C23" s="3">
        <v>4</v>
      </c>
      <c r="D23" s="3">
        <v>1660413000</v>
      </c>
      <c r="E23" s="3">
        <v>1660413900</v>
      </c>
      <c r="F23" t="s">
        <v>417</v>
      </c>
      <c r="G23" t="s">
        <v>27</v>
      </c>
      <c r="H23" t="s">
        <v>26</v>
      </c>
      <c r="I23" t="s">
        <v>25</v>
      </c>
    </row>
    <row r="24" spans="1:9" x14ac:dyDescent="0.25">
      <c r="A24">
        <v>22</v>
      </c>
      <c r="B24" t="s">
        <v>321</v>
      </c>
      <c r="C24" s="3">
        <v>3</v>
      </c>
      <c r="D24" s="3">
        <v>1660414500</v>
      </c>
      <c r="E24" s="3">
        <v>1660418100</v>
      </c>
      <c r="F24" t="s">
        <v>417</v>
      </c>
      <c r="G24" t="s">
        <v>454</v>
      </c>
      <c r="H24" t="s">
        <v>455</v>
      </c>
      <c r="I24" t="s">
        <v>84</v>
      </c>
    </row>
    <row r="25" spans="1:9" x14ac:dyDescent="0.25">
      <c r="A25">
        <v>23</v>
      </c>
      <c r="B25" t="s">
        <v>275</v>
      </c>
      <c r="C25" s="3">
        <v>1</v>
      </c>
      <c r="D25" s="3">
        <v>1660415400</v>
      </c>
      <c r="E25" s="3">
        <v>1660418100</v>
      </c>
      <c r="F25" t="s">
        <v>417</v>
      </c>
      <c r="G25" t="s">
        <v>456</v>
      </c>
      <c r="H25" t="s">
        <v>457</v>
      </c>
      <c r="I25" t="s">
        <v>91</v>
      </c>
    </row>
    <row r="26" spans="1:9" x14ac:dyDescent="0.25">
      <c r="A26">
        <v>24</v>
      </c>
      <c r="B26" t="s">
        <v>308</v>
      </c>
      <c r="C26" s="3">
        <v>2</v>
      </c>
      <c r="D26" s="3">
        <v>1660416300</v>
      </c>
      <c r="E26" s="3">
        <v>1660419900</v>
      </c>
      <c r="F26" t="s">
        <v>417</v>
      </c>
      <c r="G26" t="s">
        <v>18</v>
      </c>
      <c r="H26" t="s">
        <v>19</v>
      </c>
      <c r="I26" t="s">
        <v>20</v>
      </c>
    </row>
    <row r="27" spans="1:9" x14ac:dyDescent="0.25">
      <c r="A27">
        <v>25</v>
      </c>
      <c r="B27" t="s">
        <v>318</v>
      </c>
      <c r="C27" s="3">
        <v>1</v>
      </c>
      <c r="D27" s="3">
        <v>1660419900</v>
      </c>
      <c r="E27" s="3">
        <v>1660422900</v>
      </c>
      <c r="F27" t="s">
        <v>417</v>
      </c>
      <c r="G27" t="s">
        <v>458</v>
      </c>
      <c r="H27" t="s">
        <v>459</v>
      </c>
      <c r="I27" t="s">
        <v>65</v>
      </c>
    </row>
    <row r="28" spans="1:9" x14ac:dyDescent="0.25">
      <c r="A28">
        <v>26</v>
      </c>
      <c r="B28" t="s">
        <v>313</v>
      </c>
      <c r="C28" s="3">
        <v>1</v>
      </c>
      <c r="D28" s="3">
        <v>1660424400</v>
      </c>
      <c r="E28" s="3">
        <v>1660427700</v>
      </c>
      <c r="F28" t="s">
        <v>417</v>
      </c>
      <c r="G28" t="s">
        <v>460</v>
      </c>
      <c r="H28" t="s">
        <v>461</v>
      </c>
      <c r="I28" t="s">
        <v>235</v>
      </c>
    </row>
    <row r="29" spans="1:9" x14ac:dyDescent="0.25">
      <c r="A29">
        <v>27</v>
      </c>
      <c r="B29" t="s">
        <v>410</v>
      </c>
      <c r="C29" s="3">
        <v>2</v>
      </c>
      <c r="D29" s="3">
        <v>1660478400</v>
      </c>
      <c r="E29" s="3">
        <v>1660489200</v>
      </c>
      <c r="F29" t="s">
        <v>417</v>
      </c>
      <c r="G29" t="s">
        <v>555</v>
      </c>
      <c r="H29" t="s">
        <v>560</v>
      </c>
      <c r="I29" t="s">
        <v>561</v>
      </c>
    </row>
    <row r="30" spans="1:9" x14ac:dyDescent="0.25">
      <c r="A30">
        <v>28</v>
      </c>
      <c r="B30" t="s">
        <v>412</v>
      </c>
      <c r="C30" s="3">
        <v>2</v>
      </c>
      <c r="D30" s="3">
        <v>1660478400</v>
      </c>
      <c r="E30" s="3">
        <v>1660489200</v>
      </c>
      <c r="F30" t="s">
        <v>417</v>
      </c>
      <c r="G30" t="s">
        <v>555</v>
      </c>
      <c r="H30" t="s">
        <v>560</v>
      </c>
      <c r="I30" t="s">
        <v>561</v>
      </c>
    </row>
    <row r="31" spans="1:9" x14ac:dyDescent="0.25">
      <c r="A31">
        <v>29</v>
      </c>
      <c r="B31" t="s">
        <v>304</v>
      </c>
      <c r="C31" s="3">
        <v>2</v>
      </c>
      <c r="D31" s="3">
        <v>1660482000</v>
      </c>
      <c r="E31" s="3">
        <v>1660484700</v>
      </c>
      <c r="F31" t="s">
        <v>417</v>
      </c>
      <c r="G31" t="s">
        <v>447</v>
      </c>
      <c r="H31" t="s">
        <v>462</v>
      </c>
      <c r="I31" t="s">
        <v>210</v>
      </c>
    </row>
    <row r="32" spans="1:9" x14ac:dyDescent="0.25">
      <c r="A32">
        <v>30</v>
      </c>
      <c r="B32" t="s">
        <v>413</v>
      </c>
      <c r="C32" s="3">
        <v>2</v>
      </c>
      <c r="D32" s="3">
        <v>1660487400</v>
      </c>
      <c r="E32" s="3">
        <v>1660491000</v>
      </c>
      <c r="F32" t="s">
        <v>417</v>
      </c>
      <c r="G32" t="s">
        <v>556</v>
      </c>
      <c r="H32" t="s">
        <v>563</v>
      </c>
      <c r="I32" t="s">
        <v>562</v>
      </c>
    </row>
    <row r="33" spans="1:9" x14ac:dyDescent="0.25">
      <c r="A33">
        <v>31</v>
      </c>
      <c r="B33" t="s">
        <v>404</v>
      </c>
      <c r="C33" s="3">
        <v>1</v>
      </c>
      <c r="D33" s="3">
        <v>1660471200</v>
      </c>
      <c r="E33" s="3">
        <v>1660482000</v>
      </c>
      <c r="F33" t="s">
        <v>417</v>
      </c>
      <c r="G33" t="s">
        <v>557</v>
      </c>
      <c r="H33" t="s">
        <v>463</v>
      </c>
      <c r="I33" t="s">
        <v>405</v>
      </c>
    </row>
    <row r="34" spans="1:9" x14ac:dyDescent="0.25">
      <c r="A34">
        <v>32</v>
      </c>
      <c r="B34" t="s">
        <v>290</v>
      </c>
      <c r="C34" s="3">
        <v>1</v>
      </c>
      <c r="D34" s="3">
        <v>1660485600</v>
      </c>
      <c r="E34" s="3">
        <v>1660488300</v>
      </c>
      <c r="F34" t="s">
        <v>417</v>
      </c>
      <c r="G34" t="s">
        <v>465</v>
      </c>
      <c r="H34" t="s">
        <v>464</v>
      </c>
      <c r="I34" t="s">
        <v>151</v>
      </c>
    </row>
    <row r="35" spans="1:9" x14ac:dyDescent="0.25">
      <c r="A35">
        <v>33</v>
      </c>
      <c r="B35" t="s">
        <v>317</v>
      </c>
      <c r="C35" s="3">
        <v>1</v>
      </c>
      <c r="D35" s="3">
        <v>1660490100</v>
      </c>
      <c r="E35" s="3">
        <v>1660493700</v>
      </c>
      <c r="F35" t="s">
        <v>417</v>
      </c>
      <c r="G35" t="s">
        <v>467</v>
      </c>
      <c r="H35" t="s">
        <v>466</v>
      </c>
      <c r="I35" t="s">
        <v>62</v>
      </c>
    </row>
    <row r="36" spans="1:9" x14ac:dyDescent="0.25">
      <c r="A36">
        <v>34</v>
      </c>
      <c r="B36" t="s">
        <v>282</v>
      </c>
      <c r="C36" s="3">
        <v>4</v>
      </c>
      <c r="D36" s="3">
        <v>1660493700</v>
      </c>
      <c r="E36" s="3">
        <v>1660494600</v>
      </c>
      <c r="F36" t="s">
        <v>417</v>
      </c>
      <c r="G36" t="s">
        <v>468</v>
      </c>
      <c r="H36" t="s">
        <v>469</v>
      </c>
      <c r="I36" t="s">
        <v>114</v>
      </c>
    </row>
    <row r="37" spans="1:9" x14ac:dyDescent="0.25">
      <c r="A37">
        <v>35</v>
      </c>
      <c r="B37" t="s">
        <v>296</v>
      </c>
      <c r="C37" s="3">
        <v>1</v>
      </c>
      <c r="D37" s="3">
        <v>1660496400</v>
      </c>
      <c r="E37" s="3">
        <v>1660500000</v>
      </c>
      <c r="F37" t="s">
        <v>417</v>
      </c>
      <c r="G37" t="s">
        <v>471</v>
      </c>
      <c r="H37" t="s">
        <v>470</v>
      </c>
      <c r="I37" t="s">
        <v>172</v>
      </c>
    </row>
    <row r="38" spans="1:9" x14ac:dyDescent="0.25">
      <c r="A38">
        <v>36</v>
      </c>
      <c r="B38" t="s">
        <v>298</v>
      </c>
      <c r="C38" s="3">
        <v>3</v>
      </c>
      <c r="D38" s="3">
        <v>1660500900</v>
      </c>
      <c r="E38" s="3">
        <v>1660505400</v>
      </c>
      <c r="F38" t="s">
        <v>417</v>
      </c>
      <c r="G38" t="s">
        <v>473</v>
      </c>
      <c r="H38" t="s">
        <v>472</v>
      </c>
      <c r="I38" t="s">
        <v>181</v>
      </c>
    </row>
    <row r="39" spans="1:9" x14ac:dyDescent="0.25">
      <c r="A39">
        <v>37</v>
      </c>
      <c r="B39" t="s">
        <v>269</v>
      </c>
      <c r="C39" s="3">
        <v>2</v>
      </c>
      <c r="D39" s="3">
        <v>1660501800</v>
      </c>
      <c r="E39" s="3">
        <v>1660506300</v>
      </c>
      <c r="F39" t="s">
        <v>417</v>
      </c>
      <c r="G39" t="s">
        <v>475</v>
      </c>
      <c r="H39" t="s">
        <v>474</v>
      </c>
      <c r="I39" t="s">
        <v>53</v>
      </c>
    </row>
    <row r="40" spans="1:9" x14ac:dyDescent="0.25">
      <c r="A40">
        <v>38</v>
      </c>
      <c r="B40" t="s">
        <v>307</v>
      </c>
      <c r="C40" s="3">
        <v>1</v>
      </c>
      <c r="D40" s="3">
        <v>1660501800</v>
      </c>
      <c r="E40" s="3">
        <v>1660506300</v>
      </c>
      <c r="F40" t="s">
        <v>417</v>
      </c>
      <c r="G40" t="s">
        <v>11</v>
      </c>
      <c r="H40" t="s">
        <v>10</v>
      </c>
      <c r="I40" t="s">
        <v>12</v>
      </c>
    </row>
    <row r="41" spans="1:9" x14ac:dyDescent="0.25">
      <c r="A41">
        <v>39</v>
      </c>
      <c r="B41" t="s">
        <v>312</v>
      </c>
      <c r="C41" s="3">
        <v>1</v>
      </c>
      <c r="D41" s="3">
        <v>1660581900</v>
      </c>
      <c r="E41" s="3">
        <v>1660585500</v>
      </c>
      <c r="F41" t="s">
        <v>417</v>
      </c>
      <c r="G41" t="s">
        <v>477</v>
      </c>
      <c r="H41" t="s">
        <v>476</v>
      </c>
      <c r="I41" t="s">
        <v>232</v>
      </c>
    </row>
    <row r="42" spans="1:9" x14ac:dyDescent="0.25">
      <c r="A42">
        <v>40</v>
      </c>
      <c r="B42" t="s">
        <v>323</v>
      </c>
      <c r="C42" s="3">
        <v>5</v>
      </c>
      <c r="D42" s="3">
        <v>1660585500</v>
      </c>
      <c r="E42" s="3">
        <v>1660588200</v>
      </c>
      <c r="F42" t="s">
        <v>417</v>
      </c>
      <c r="G42" t="s">
        <v>478</v>
      </c>
      <c r="H42" t="s">
        <v>479</v>
      </c>
      <c r="I42" t="s">
        <v>120</v>
      </c>
    </row>
    <row r="43" spans="1:9" x14ac:dyDescent="0.25">
      <c r="A43">
        <v>41</v>
      </c>
      <c r="B43" t="s">
        <v>303</v>
      </c>
      <c r="C43" s="3">
        <v>4</v>
      </c>
      <c r="D43" s="3">
        <v>1660585500</v>
      </c>
      <c r="E43" s="3">
        <v>1660586400</v>
      </c>
      <c r="F43" t="s">
        <v>417</v>
      </c>
      <c r="G43" t="s">
        <v>558</v>
      </c>
      <c r="H43" t="s">
        <v>559</v>
      </c>
      <c r="I43" t="s">
        <v>207</v>
      </c>
    </row>
    <row r="44" spans="1:9" x14ac:dyDescent="0.25">
      <c r="A44">
        <v>42</v>
      </c>
      <c r="B44" t="s">
        <v>288</v>
      </c>
      <c r="C44" s="3">
        <v>3</v>
      </c>
      <c r="D44" s="3">
        <v>1660587300</v>
      </c>
      <c r="E44" s="3">
        <v>1660592700</v>
      </c>
      <c r="F44" t="s">
        <v>417</v>
      </c>
      <c r="G44" t="s">
        <v>480</v>
      </c>
      <c r="H44" t="s">
        <v>481</v>
      </c>
      <c r="I44" t="s">
        <v>21</v>
      </c>
    </row>
    <row r="45" spans="1:9" x14ac:dyDescent="0.25">
      <c r="A45">
        <v>43</v>
      </c>
      <c r="B45" t="s">
        <v>284</v>
      </c>
      <c r="C45" s="3">
        <v>2</v>
      </c>
      <c r="D45" s="3">
        <v>1660588200</v>
      </c>
      <c r="E45" s="3">
        <v>1660592700</v>
      </c>
      <c r="F45" t="s">
        <v>417</v>
      </c>
      <c r="G45" t="s">
        <v>16</v>
      </c>
      <c r="H45" t="s">
        <v>15</v>
      </c>
      <c r="I45" t="s">
        <v>17</v>
      </c>
    </row>
    <row r="46" spans="1:9" x14ac:dyDescent="0.25">
      <c r="A46">
        <v>44</v>
      </c>
      <c r="B46" t="s">
        <v>314</v>
      </c>
      <c r="C46" s="3">
        <v>1</v>
      </c>
      <c r="D46" s="3">
        <v>1660588200</v>
      </c>
      <c r="E46" s="3">
        <v>1660591800</v>
      </c>
      <c r="F46" t="s">
        <v>417</v>
      </c>
      <c r="G46" t="s">
        <v>482</v>
      </c>
      <c r="H46" t="s">
        <v>483</v>
      </c>
      <c r="I46" t="s">
        <v>250</v>
      </c>
    </row>
    <row r="47" spans="1:9" x14ac:dyDescent="0.25">
      <c r="A47">
        <v>45</v>
      </c>
      <c r="B47" t="s">
        <v>311</v>
      </c>
      <c r="C47" s="3">
        <v>6</v>
      </c>
      <c r="D47" s="3">
        <v>1660643100</v>
      </c>
      <c r="E47" s="3">
        <v>1660646700</v>
      </c>
      <c r="F47" t="s">
        <v>417</v>
      </c>
      <c r="G47" t="s">
        <v>484</v>
      </c>
      <c r="H47" t="s">
        <v>485</v>
      </c>
      <c r="I47" t="s">
        <v>229</v>
      </c>
    </row>
    <row r="48" spans="1:9" x14ac:dyDescent="0.25">
      <c r="A48">
        <v>46</v>
      </c>
      <c r="B48" t="s">
        <v>291</v>
      </c>
      <c r="C48" s="3">
        <v>1</v>
      </c>
      <c r="D48" s="3">
        <v>1660668300</v>
      </c>
      <c r="E48" s="3">
        <v>1660671000</v>
      </c>
      <c r="F48" t="s">
        <v>417</v>
      </c>
      <c r="G48" t="s">
        <v>486</v>
      </c>
      <c r="H48" t="s">
        <v>487</v>
      </c>
      <c r="I48" t="s">
        <v>156</v>
      </c>
    </row>
    <row r="49" spans="1:9" x14ac:dyDescent="0.25">
      <c r="A49">
        <v>47</v>
      </c>
      <c r="B49" t="s">
        <v>243</v>
      </c>
      <c r="C49" s="3">
        <v>2</v>
      </c>
      <c r="D49" s="3">
        <v>1660670100</v>
      </c>
      <c r="E49" s="3">
        <v>1660672800</v>
      </c>
      <c r="F49" t="s">
        <v>417</v>
      </c>
      <c r="G49" t="s">
        <v>489</v>
      </c>
      <c r="H49" t="s">
        <v>488</v>
      </c>
      <c r="I49" t="s">
        <v>244</v>
      </c>
    </row>
    <row r="50" spans="1:9" x14ac:dyDescent="0.25">
      <c r="A50">
        <v>48</v>
      </c>
      <c r="B50" t="s">
        <v>280</v>
      </c>
      <c r="C50" s="3">
        <v>4</v>
      </c>
      <c r="D50" s="3">
        <v>1660671000</v>
      </c>
      <c r="E50" s="3">
        <v>1660671900</v>
      </c>
      <c r="F50" t="s">
        <v>417</v>
      </c>
      <c r="G50" t="s">
        <v>490</v>
      </c>
      <c r="H50" t="s">
        <v>491</v>
      </c>
      <c r="I50" t="s">
        <v>105</v>
      </c>
    </row>
    <row r="51" spans="1:9" x14ac:dyDescent="0.25">
      <c r="A51">
        <v>49</v>
      </c>
      <c r="B51" t="s">
        <v>266</v>
      </c>
      <c r="C51" s="3">
        <v>5</v>
      </c>
      <c r="D51" s="3">
        <v>1660671900</v>
      </c>
      <c r="E51" s="3">
        <v>1660674600</v>
      </c>
      <c r="F51" t="s">
        <v>417</v>
      </c>
      <c r="G51" t="s">
        <v>493</v>
      </c>
      <c r="H51" t="s">
        <v>492</v>
      </c>
      <c r="I51" t="s">
        <v>42</v>
      </c>
    </row>
    <row r="52" spans="1:9" x14ac:dyDescent="0.25">
      <c r="A52">
        <v>50</v>
      </c>
      <c r="B52" t="s">
        <v>264</v>
      </c>
      <c r="C52" s="3">
        <v>2</v>
      </c>
      <c r="D52" s="3">
        <v>1660673700</v>
      </c>
      <c r="E52" s="3">
        <v>1660679100</v>
      </c>
      <c r="F52" t="s">
        <v>417</v>
      </c>
      <c r="G52" t="s">
        <v>495</v>
      </c>
      <c r="H52" t="s">
        <v>494</v>
      </c>
      <c r="I52" t="s">
        <v>34</v>
      </c>
    </row>
    <row r="53" spans="1:9" x14ac:dyDescent="0.25">
      <c r="A53">
        <v>51</v>
      </c>
      <c r="B53" t="s">
        <v>332</v>
      </c>
      <c r="C53" s="3">
        <v>1</v>
      </c>
      <c r="D53" s="3">
        <v>1660673700</v>
      </c>
      <c r="E53" s="3">
        <v>1660678200</v>
      </c>
      <c r="F53" t="s">
        <v>417</v>
      </c>
      <c r="G53" t="s">
        <v>496</v>
      </c>
      <c r="H53" t="s">
        <v>497</v>
      </c>
      <c r="I53" t="s">
        <v>247</v>
      </c>
    </row>
    <row r="54" spans="1:9" x14ac:dyDescent="0.25">
      <c r="A54">
        <v>52</v>
      </c>
      <c r="B54" t="s">
        <v>316</v>
      </c>
      <c r="C54" s="3">
        <v>3</v>
      </c>
      <c r="D54" s="3">
        <v>1660673700</v>
      </c>
      <c r="E54" s="3">
        <v>1660677300</v>
      </c>
      <c r="F54" t="s">
        <v>417</v>
      </c>
      <c r="G54" t="s">
        <v>498</v>
      </c>
      <c r="H54" t="s">
        <v>499</v>
      </c>
      <c r="I54" t="s">
        <v>259</v>
      </c>
    </row>
    <row r="55" spans="1:9" x14ac:dyDescent="0.25">
      <c r="A55">
        <v>53</v>
      </c>
      <c r="B55" t="s">
        <v>297</v>
      </c>
      <c r="C55" s="3">
        <v>6</v>
      </c>
      <c r="D55" s="3">
        <v>1660729500</v>
      </c>
      <c r="E55" s="3">
        <v>1660733100</v>
      </c>
      <c r="F55" t="s">
        <v>417</v>
      </c>
      <c r="G55" t="s">
        <v>500</v>
      </c>
      <c r="H55" t="s">
        <v>501</v>
      </c>
      <c r="I55" t="s">
        <v>178</v>
      </c>
    </row>
    <row r="56" spans="1:9" x14ac:dyDescent="0.25">
      <c r="A56">
        <v>54</v>
      </c>
      <c r="B56" t="s">
        <v>322</v>
      </c>
      <c r="C56" s="3">
        <v>1</v>
      </c>
      <c r="D56" s="3">
        <v>1660741200</v>
      </c>
      <c r="E56" s="3">
        <v>1660744800</v>
      </c>
      <c r="F56" t="s">
        <v>417</v>
      </c>
      <c r="G56" t="s">
        <v>502</v>
      </c>
      <c r="H56" t="s">
        <v>503</v>
      </c>
      <c r="I56" t="s">
        <v>111</v>
      </c>
    </row>
    <row r="57" spans="1:9" x14ac:dyDescent="0.25">
      <c r="A57">
        <v>55</v>
      </c>
      <c r="B57" t="s">
        <v>153</v>
      </c>
      <c r="C57" s="3">
        <v>1</v>
      </c>
      <c r="D57" s="3">
        <v>1660754700</v>
      </c>
      <c r="E57" s="3">
        <v>1660757400</v>
      </c>
      <c r="F57" t="s">
        <v>417</v>
      </c>
      <c r="G57" t="s">
        <v>13</v>
      </c>
      <c r="H57" t="s">
        <v>504</v>
      </c>
      <c r="I57" t="s">
        <v>14</v>
      </c>
    </row>
    <row r="58" spans="1:9" x14ac:dyDescent="0.25">
      <c r="A58">
        <v>56</v>
      </c>
      <c r="B58" t="s">
        <v>279</v>
      </c>
      <c r="C58" s="3">
        <v>4</v>
      </c>
      <c r="D58" s="3">
        <v>1660757400</v>
      </c>
      <c r="E58" s="3">
        <v>1660758300</v>
      </c>
      <c r="F58" t="s">
        <v>417</v>
      </c>
      <c r="G58" t="s">
        <v>505</v>
      </c>
      <c r="H58" t="s">
        <v>24</v>
      </c>
      <c r="I58" t="s">
        <v>23</v>
      </c>
    </row>
    <row r="59" spans="1:9" x14ac:dyDescent="0.25">
      <c r="A59">
        <v>57</v>
      </c>
      <c r="B59" t="s">
        <v>328</v>
      </c>
      <c r="C59" s="3">
        <v>5</v>
      </c>
      <c r="D59" s="3">
        <v>1660758300</v>
      </c>
      <c r="E59" s="3">
        <v>1660761000</v>
      </c>
      <c r="F59" t="s">
        <v>417</v>
      </c>
      <c r="G59" t="s">
        <v>506</v>
      </c>
      <c r="H59" t="s">
        <v>507</v>
      </c>
      <c r="I59" t="s">
        <v>193</v>
      </c>
    </row>
    <row r="60" spans="1:9" x14ac:dyDescent="0.25">
      <c r="A60">
        <v>58</v>
      </c>
      <c r="B60" t="s">
        <v>285</v>
      </c>
      <c r="C60" s="3">
        <v>1</v>
      </c>
      <c r="D60" s="3">
        <v>1660760100</v>
      </c>
      <c r="E60" s="3">
        <v>1660765500</v>
      </c>
      <c r="F60" t="s">
        <v>417</v>
      </c>
      <c r="G60" t="s">
        <v>509</v>
      </c>
      <c r="H60" t="s">
        <v>508</v>
      </c>
      <c r="I60" t="s">
        <v>125</v>
      </c>
    </row>
    <row r="61" spans="1:9" x14ac:dyDescent="0.25">
      <c r="A61">
        <v>59</v>
      </c>
      <c r="B61" t="s">
        <v>315</v>
      </c>
      <c r="C61" s="3">
        <v>3</v>
      </c>
      <c r="D61" s="3">
        <v>1660760100</v>
      </c>
      <c r="E61" s="3">
        <v>1660764600</v>
      </c>
      <c r="F61" t="s">
        <v>417</v>
      </c>
      <c r="G61" t="s">
        <v>511</v>
      </c>
      <c r="H61" t="s">
        <v>510</v>
      </c>
      <c r="I61" t="s">
        <v>256</v>
      </c>
    </row>
    <row r="62" spans="1:9" x14ac:dyDescent="0.25">
      <c r="A62">
        <v>60</v>
      </c>
      <c r="B62" t="s">
        <v>412</v>
      </c>
      <c r="C62" s="3">
        <v>2</v>
      </c>
      <c r="D62" s="3">
        <v>1660737600</v>
      </c>
      <c r="E62" s="3">
        <v>1660748400</v>
      </c>
      <c r="F62" t="s">
        <v>417</v>
      </c>
      <c r="G62" t="s">
        <v>555</v>
      </c>
      <c r="H62" t="s">
        <v>564</v>
      </c>
      <c r="I62" t="s">
        <v>565</v>
      </c>
    </row>
    <row r="63" spans="1:9" x14ac:dyDescent="0.25">
      <c r="A63">
        <v>61</v>
      </c>
      <c r="B63" t="s">
        <v>331</v>
      </c>
      <c r="C63" s="3">
        <v>2</v>
      </c>
      <c r="D63" s="3">
        <v>1660761000</v>
      </c>
      <c r="E63" s="3">
        <v>1660765500</v>
      </c>
      <c r="F63" t="s">
        <v>417</v>
      </c>
      <c r="G63" t="s">
        <v>512</v>
      </c>
      <c r="H63" t="s">
        <v>513</v>
      </c>
      <c r="I63" t="s">
        <v>241</v>
      </c>
    </row>
    <row r="64" spans="1:9" x14ac:dyDescent="0.25">
      <c r="A64">
        <v>62</v>
      </c>
      <c r="B64" t="s">
        <v>274</v>
      </c>
      <c r="C64" s="3">
        <v>6</v>
      </c>
      <c r="D64" s="3">
        <v>1660815900</v>
      </c>
      <c r="E64" s="3">
        <v>1660819500</v>
      </c>
      <c r="F64" t="s">
        <v>417</v>
      </c>
      <c r="G64" t="s">
        <v>514</v>
      </c>
      <c r="H64" t="s">
        <v>515</v>
      </c>
      <c r="I64" t="s">
        <v>80</v>
      </c>
    </row>
    <row r="65" spans="1:9" x14ac:dyDescent="0.25">
      <c r="A65">
        <v>63</v>
      </c>
      <c r="B65" t="s">
        <v>299</v>
      </c>
      <c r="C65" s="3">
        <v>1</v>
      </c>
      <c r="D65" s="3">
        <v>1660840200</v>
      </c>
      <c r="E65" s="3">
        <v>1660842900</v>
      </c>
      <c r="F65" t="s">
        <v>417</v>
      </c>
      <c r="G65" t="s">
        <v>516</v>
      </c>
      <c r="H65" t="s">
        <v>517</v>
      </c>
      <c r="I65" t="s">
        <v>184</v>
      </c>
    </row>
    <row r="66" spans="1:9" x14ac:dyDescent="0.25">
      <c r="A66">
        <v>64</v>
      </c>
      <c r="B66" t="s">
        <v>265</v>
      </c>
      <c r="C66" s="3">
        <v>4</v>
      </c>
      <c r="D66" s="3">
        <v>1660842900</v>
      </c>
      <c r="E66" s="3">
        <v>1660843800</v>
      </c>
      <c r="F66" t="s">
        <v>417</v>
      </c>
      <c r="G66" t="s">
        <v>518</v>
      </c>
      <c r="H66" t="s">
        <v>519</v>
      </c>
      <c r="I66" t="s">
        <v>38</v>
      </c>
    </row>
    <row r="67" spans="1:9" x14ac:dyDescent="0.25">
      <c r="A67">
        <v>65</v>
      </c>
      <c r="B67" t="s">
        <v>283</v>
      </c>
      <c r="C67" s="3">
        <v>1</v>
      </c>
      <c r="D67" s="3">
        <v>1660845600</v>
      </c>
      <c r="E67" s="3">
        <v>1660849200</v>
      </c>
      <c r="F67" t="s">
        <v>417</v>
      </c>
      <c r="G67" t="s">
        <v>520</v>
      </c>
      <c r="H67" t="s">
        <v>521</v>
      </c>
      <c r="I67" t="s">
        <v>117</v>
      </c>
    </row>
    <row r="68" spans="1:9" x14ac:dyDescent="0.25">
      <c r="A68">
        <v>66</v>
      </c>
      <c r="B68" t="s">
        <v>133</v>
      </c>
      <c r="C68" s="3">
        <v>3</v>
      </c>
      <c r="D68" s="3">
        <v>1660846500</v>
      </c>
      <c r="E68" s="3">
        <v>1660851000</v>
      </c>
      <c r="F68" t="s">
        <v>417</v>
      </c>
      <c r="G68" t="s">
        <v>523</v>
      </c>
      <c r="H68" t="s">
        <v>522</v>
      </c>
      <c r="I68" t="s">
        <v>134</v>
      </c>
    </row>
    <row r="69" spans="1:9" x14ac:dyDescent="0.25">
      <c r="A69">
        <v>67</v>
      </c>
      <c r="B69" t="s">
        <v>270</v>
      </c>
      <c r="C69" s="3">
        <v>2</v>
      </c>
      <c r="D69" s="3">
        <v>1660847400</v>
      </c>
      <c r="E69" s="3">
        <v>1660851840</v>
      </c>
      <c r="F69" t="s">
        <v>417</v>
      </c>
      <c r="G69" t="s">
        <v>524</v>
      </c>
      <c r="H69" t="s">
        <v>525</v>
      </c>
      <c r="I69" t="s">
        <v>56</v>
      </c>
    </row>
    <row r="70" spans="1:9" x14ac:dyDescent="0.25">
      <c r="A70">
        <v>68</v>
      </c>
      <c r="B70" t="s">
        <v>277</v>
      </c>
      <c r="C70" s="3">
        <v>1</v>
      </c>
      <c r="D70" s="3">
        <v>1660851000</v>
      </c>
      <c r="E70" s="3">
        <v>1660855500</v>
      </c>
      <c r="F70" t="s">
        <v>417</v>
      </c>
      <c r="G70" t="s">
        <v>526</v>
      </c>
      <c r="H70" t="s">
        <v>527</v>
      </c>
      <c r="I70" t="s">
        <v>97</v>
      </c>
    </row>
    <row r="71" spans="1:9" x14ac:dyDescent="0.25">
      <c r="A71">
        <v>69</v>
      </c>
      <c r="B71" t="s">
        <v>310</v>
      </c>
      <c r="C71" s="3">
        <v>3</v>
      </c>
      <c r="D71" s="3">
        <v>1660932900</v>
      </c>
      <c r="E71" s="3">
        <v>1660938300</v>
      </c>
      <c r="F71" t="s">
        <v>417</v>
      </c>
      <c r="G71" t="s">
        <v>528</v>
      </c>
      <c r="H71" t="s">
        <v>529</v>
      </c>
      <c r="I71" t="s">
        <v>226</v>
      </c>
    </row>
    <row r="72" spans="1:9" x14ac:dyDescent="0.25">
      <c r="A72">
        <v>70</v>
      </c>
      <c r="B72" t="s">
        <v>407</v>
      </c>
      <c r="C72" s="3">
        <v>1</v>
      </c>
      <c r="D72" s="3">
        <v>1660843800</v>
      </c>
      <c r="E72" s="3">
        <v>1660846200</v>
      </c>
      <c r="F72" t="s">
        <v>417</v>
      </c>
      <c r="G72" t="s">
        <v>530</v>
      </c>
      <c r="H72" t="s">
        <v>531</v>
      </c>
      <c r="I72" t="s">
        <v>409</v>
      </c>
    </row>
    <row r="73" spans="1:9" x14ac:dyDescent="0.25">
      <c r="A73">
        <v>71</v>
      </c>
      <c r="B73" t="s">
        <v>325</v>
      </c>
      <c r="C73" s="3">
        <v>1</v>
      </c>
      <c r="D73" s="3">
        <v>1660934400</v>
      </c>
      <c r="E73" s="3">
        <v>1660938900</v>
      </c>
      <c r="F73" t="s">
        <v>417</v>
      </c>
      <c r="G73" t="s">
        <v>532</v>
      </c>
      <c r="H73" t="s">
        <v>533</v>
      </c>
      <c r="I73" t="s">
        <v>162</v>
      </c>
    </row>
    <row r="74" spans="1:9" x14ac:dyDescent="0.25">
      <c r="A74">
        <v>72</v>
      </c>
      <c r="B74" t="s">
        <v>330</v>
      </c>
      <c r="C74" s="3">
        <v>1</v>
      </c>
      <c r="D74" s="3">
        <v>1660941000</v>
      </c>
      <c r="E74" s="3">
        <v>1660946400</v>
      </c>
      <c r="F74" t="s">
        <v>417</v>
      </c>
      <c r="G74" t="s">
        <v>534</v>
      </c>
      <c r="H74" t="s">
        <v>535</v>
      </c>
      <c r="I74" t="s">
        <v>238</v>
      </c>
    </row>
    <row r="75" spans="1:9" x14ac:dyDescent="0.25">
      <c r="A75">
        <v>73</v>
      </c>
      <c r="B75" t="s">
        <v>189</v>
      </c>
      <c r="C75" s="3">
        <v>3</v>
      </c>
      <c r="D75" s="3">
        <v>1660996800</v>
      </c>
      <c r="E75" s="3">
        <v>1660999800</v>
      </c>
      <c r="F75" t="s">
        <v>417</v>
      </c>
      <c r="G75" t="s">
        <v>536</v>
      </c>
      <c r="H75" t="s">
        <v>537</v>
      </c>
      <c r="I75" t="s">
        <v>190</v>
      </c>
    </row>
    <row r="76" spans="1:9" x14ac:dyDescent="0.25">
      <c r="A76">
        <v>74</v>
      </c>
      <c r="B76" t="s">
        <v>329</v>
      </c>
      <c r="C76" s="3">
        <v>1</v>
      </c>
      <c r="D76" s="3">
        <v>1661013900</v>
      </c>
      <c r="E76" s="3">
        <v>1661016600</v>
      </c>
      <c r="F76" t="s">
        <v>417</v>
      </c>
      <c r="G76" t="s">
        <v>538</v>
      </c>
      <c r="H76" t="s">
        <v>539</v>
      </c>
      <c r="I76" t="s">
        <v>204</v>
      </c>
    </row>
    <row r="77" spans="1:9" x14ac:dyDescent="0.25">
      <c r="A77">
        <v>75</v>
      </c>
      <c r="B77" t="s">
        <v>309</v>
      </c>
      <c r="C77" s="3">
        <v>1</v>
      </c>
      <c r="D77" s="3">
        <v>1661018400</v>
      </c>
      <c r="E77" s="3">
        <v>1661022900</v>
      </c>
      <c r="F77" t="s">
        <v>417</v>
      </c>
      <c r="G77" t="s">
        <v>540</v>
      </c>
      <c r="H77" t="s">
        <v>541</v>
      </c>
      <c r="I77" t="s">
        <v>223</v>
      </c>
    </row>
    <row r="78" spans="1:9" x14ac:dyDescent="0.25">
      <c r="A78">
        <v>76</v>
      </c>
      <c r="B78" t="s">
        <v>147</v>
      </c>
      <c r="C78" s="3">
        <v>3</v>
      </c>
      <c r="D78" s="3">
        <v>1661019300</v>
      </c>
      <c r="E78" s="3">
        <v>1661023800</v>
      </c>
      <c r="F78" t="s">
        <v>417</v>
      </c>
      <c r="G78" t="s">
        <v>542</v>
      </c>
      <c r="H78" t="s">
        <v>543</v>
      </c>
      <c r="I78" t="s">
        <v>148</v>
      </c>
    </row>
    <row r="79" spans="1:9" x14ac:dyDescent="0.25">
      <c r="A79">
        <v>77</v>
      </c>
      <c r="B79" t="s">
        <v>319</v>
      </c>
      <c r="C79" s="3">
        <v>1</v>
      </c>
      <c r="D79" s="3">
        <v>1661025600</v>
      </c>
      <c r="E79" s="3">
        <v>1661031000</v>
      </c>
      <c r="F79" t="s">
        <v>417</v>
      </c>
      <c r="G79" t="s">
        <v>538</v>
      </c>
      <c r="H79" t="s">
        <v>544</v>
      </c>
      <c r="I79" t="s">
        <v>68</v>
      </c>
    </row>
    <row r="80" spans="1:9" x14ac:dyDescent="0.25">
      <c r="A80">
        <v>78</v>
      </c>
      <c r="B80" t="s">
        <v>87</v>
      </c>
      <c r="C80" s="3">
        <v>3</v>
      </c>
      <c r="D80" s="3">
        <v>1661083200</v>
      </c>
      <c r="E80" s="3">
        <v>1661086800</v>
      </c>
      <c r="F80" t="s">
        <v>417</v>
      </c>
      <c r="G80" t="s">
        <v>545</v>
      </c>
      <c r="H80" t="s">
        <v>546</v>
      </c>
      <c r="I80" t="s">
        <v>88</v>
      </c>
    </row>
    <row r="81" spans="1:9" x14ac:dyDescent="0.25">
      <c r="A81">
        <v>79</v>
      </c>
      <c r="B81" t="s">
        <v>278</v>
      </c>
      <c r="C81" s="3">
        <v>1</v>
      </c>
      <c r="D81" s="3">
        <v>1661093100</v>
      </c>
      <c r="E81" s="3">
        <v>1661095800</v>
      </c>
      <c r="F81" t="s">
        <v>417</v>
      </c>
      <c r="G81" t="s">
        <v>547</v>
      </c>
      <c r="H81" t="s">
        <v>548</v>
      </c>
      <c r="I81" t="s">
        <v>100</v>
      </c>
    </row>
    <row r="82" spans="1:9" x14ac:dyDescent="0.25">
      <c r="A82">
        <v>80</v>
      </c>
      <c r="B82" t="s">
        <v>300</v>
      </c>
      <c r="C82" s="3">
        <v>1</v>
      </c>
      <c r="D82" s="3">
        <v>1661098500</v>
      </c>
      <c r="E82" s="3">
        <v>1661102100</v>
      </c>
      <c r="F82" t="s">
        <v>417</v>
      </c>
      <c r="G82" t="s">
        <v>549</v>
      </c>
      <c r="H82" t="s">
        <v>550</v>
      </c>
      <c r="I82" t="s">
        <v>196</v>
      </c>
    </row>
    <row r="83" spans="1:9" x14ac:dyDescent="0.25">
      <c r="A83">
        <v>81</v>
      </c>
      <c r="B83" t="s">
        <v>327</v>
      </c>
      <c r="C83" s="3">
        <v>1</v>
      </c>
      <c r="D83" s="3">
        <v>1661104800</v>
      </c>
      <c r="E83" s="3">
        <v>1661110200</v>
      </c>
      <c r="F83" t="s">
        <v>417</v>
      </c>
      <c r="G83" t="s">
        <v>551</v>
      </c>
      <c r="H83" t="s">
        <v>552</v>
      </c>
      <c r="I83" t="s">
        <v>187</v>
      </c>
    </row>
    <row r="84" spans="1:9" x14ac:dyDescent="0.25">
      <c r="A84">
        <v>82</v>
      </c>
      <c r="B84" t="s">
        <v>301</v>
      </c>
      <c r="C84" s="3">
        <v>3</v>
      </c>
      <c r="D84" s="3">
        <v>1661105700</v>
      </c>
      <c r="E84" s="3">
        <v>1661110200</v>
      </c>
      <c r="F84" t="s">
        <v>417</v>
      </c>
      <c r="G84" t="s">
        <v>553</v>
      </c>
      <c r="H84" t="s">
        <v>554</v>
      </c>
      <c r="I84" t="s">
        <v>22</v>
      </c>
    </row>
  </sheetData>
  <hyperlinks>
    <hyperlink ref="I9" r:id="rId1" display="https://musikfestwochen.ch/acts/agent-flipper-ch/" xr:uid="{592A3590-6D91-45E0-8D6A-A43732D06EB8}"/>
    <hyperlink ref="I8" r:id="rId2" display="https://musikfestwochen.ch/acts/les-trois-suisses-ch/" xr:uid="{C1588207-9C9E-4E1A-8FBF-93AC552803A6}"/>
    <hyperlink ref="I7" r:id="rId3" display="https://musikfestwochen.ch/acts/king-kora-ch/" xr:uid="{4330491C-981B-480A-BEE8-0DBAFF038A25}"/>
    <hyperlink ref="I6" r:id="rId4" display="https://musikfestwochen.ch/acts/andrina-bollinger-ch/" xr:uid="{7EC279BF-BE8C-40A3-AD2A-9056C6FA49E5}"/>
  </hyperlinks>
  <pageMargins left="0.7" right="0.7" top="0.78740157499999996" bottom="0.78740157499999996" header="0.3" footer="0.3"/>
  <pageSetup paperSize="9" orientation="portrait" r:id="rId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Tabelle2</vt:lpstr>
      <vt:lpstr>Tabelle4</vt:lpstr>
      <vt:lpstr>scrape transform</vt:lpstr>
      <vt:lpstr>scrape 02AUG</vt:lpstr>
      <vt:lpstr>scrape transform 02AUG</vt:lpstr>
      <vt:lpstr>location correction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2022-08-08T01:51:42Z</dcterms:modified>
</cp:coreProperties>
</file>